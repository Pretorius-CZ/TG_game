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ístnosti" sheetId="1" state="visible" r:id="rId3"/>
    <sheet name="Položky" sheetId="2" state="visible" r:id="rId4"/>
    <sheet name="Ekonomik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<sst xmlns="http://schemas.openxmlformats.org/spreadsheetml/2006/main" count="330" uniqueCount="140">
  <si>
    <t xml:space="preserve">Pořadí místností kapitoly 1</t>
  </si>
  <si>
    <t xml:space="preserve">Přehled se počítá automaticky z listu Položky — nic tu needituj.</t>
  </si>
  <si>
    <t xml:space="preserve">#</t>
  </si>
  <si>
    <t xml:space="preserve">Místnost</t>
  </si>
  <si>
    <t xml:space="preserve">Fáze</t>
  </si>
  <si>
    <t xml:space="preserve">Cena za 4 Normal položky (Kredity)</t>
  </si>
  <si>
    <t xml:space="preserve">Boss položka</t>
  </si>
  <si>
    <t xml:space="preserve">Podíl na normální ceně kapitoly 1</t>
  </si>
  <si>
    <t xml:space="preserve">Plášť</t>
  </si>
  <si>
    <t xml:space="preserve">Survival</t>
  </si>
  <si>
    <t xml:space="preserve">Tepelný štít</t>
  </si>
  <si>
    <t xml:space="preserve">Ubikace</t>
  </si>
  <si>
    <t xml:space="preserve">Podlaha/výstelka</t>
  </si>
  <si>
    <t xml:space="preserve">Koupelny</t>
  </si>
  <si>
    <t xml:space="preserve">Odvětrávání</t>
  </si>
  <si>
    <t xml:space="preserve">Jídelna a kuchyň</t>
  </si>
  <si>
    <t xml:space="preserve">Zásobník vody</t>
  </si>
  <si>
    <t xml:space="preserve">Ošetřovna</t>
  </si>
  <si>
    <t xml:space="preserve">Osvětlení/sterilizace</t>
  </si>
  <si>
    <t xml:space="preserve">Kokpit</t>
  </si>
  <si>
    <t xml:space="preserve">Funkčnost</t>
  </si>
  <si>
    <t xml:space="preserve">Okno kokpitu</t>
  </si>
  <si>
    <t xml:space="preserve">Navigace</t>
  </si>
  <si>
    <t xml:space="preserve">Gyroskop</t>
  </si>
  <si>
    <t xml:space="preserve">Nákladový prostor</t>
  </si>
  <si>
    <t xml:space="preserve">Bezpečnostní sítě</t>
  </si>
  <si>
    <t xml:space="preserve">Strojovna</t>
  </si>
  <si>
    <t xml:space="preserve">Filtrace/výfuk</t>
  </si>
  <si>
    <t xml:space="preserve">Sklad paliva</t>
  </si>
  <si>
    <t xml:space="preserve">Izolace nádrží</t>
  </si>
  <si>
    <t xml:space="preserve">Serverovna / jádro AI</t>
  </si>
  <si>
    <t xml:space="preserve">Vrchol</t>
  </si>
  <si>
    <t xml:space="preserve">Bezpečnostní protokoly</t>
  </si>
  <si>
    <t xml:space="preserve">Komunikace</t>
  </si>
  <si>
    <t xml:space="preserve">Nouzový maják</t>
  </si>
  <si>
    <t xml:space="preserve">CELKEM</t>
  </si>
  <si>
    <t xml:space="preserve">Každá místnost = 4 kupované položky + 1 povinný boss level (oranžově). Boss se nedá obejít grindem — je to podmínka dokončení místnosti.</t>
  </si>
  <si>
    <t xml:space="preserve">Položky k opravě — 12 místností × 5 (4 Normal + 1 Boss)</t>
  </si>
  <si>
    <t xml:space="preserve">Žluté buňky (Cena u Normal položek) = uprav podle potřeby. Boss položky (oranžové) nemají cenu — musí se vyhrát, ne koupit.</t>
  </si>
  <si>
    <t xml:space="preserve">Pořadí</t>
  </si>
  <si>
    <t xml:space="preserve">Položka</t>
  </si>
  <si>
    <t xml:space="preserve">Typ</t>
  </si>
  <si>
    <t xml:space="preserve">Cena — levná varianta (Kredity)</t>
  </si>
  <si>
    <t xml:space="preserve">Cena — drahá varianta (Kredity)</t>
  </si>
  <si>
    <t xml:space="preserve">Orientační počet levelů / pokusů</t>
  </si>
  <si>
    <t xml:space="preserve">Trhliny v obšívce</t>
  </si>
  <si>
    <t xml:space="preserve">Normal</t>
  </si>
  <si>
    <t xml:space="preserve">Prasklá okna</t>
  </si>
  <si>
    <t xml:space="preserve">Poškozené dveře</t>
  </si>
  <si>
    <t xml:space="preserve">Přetlaková komora</t>
  </si>
  <si>
    <t xml:space="preserve">Tepelný štít [BOSS]</t>
  </si>
  <si>
    <t xml:space="preserve">Boss</t>
  </si>
  <si>
    <t xml:space="preserve">Palandy/lůžka</t>
  </si>
  <si>
    <t xml:space="preserve">Osvětlení</t>
  </si>
  <si>
    <t xml:space="preserve">Skříňky</t>
  </si>
  <si>
    <t xml:space="preserve">Klimatizace</t>
  </si>
  <si>
    <t xml:space="preserve">Podlaha/výstelka [BOSS]</t>
  </si>
  <si>
    <t xml:space="preserve">Sprchový systém</t>
  </si>
  <si>
    <t xml:space="preserve">Recyklace vody</t>
  </si>
  <si>
    <t xml:space="preserve">Toalety</t>
  </si>
  <si>
    <t xml:space="preserve">Zrcadla/umyvadla</t>
  </si>
  <si>
    <t xml:space="preserve">Odvětrávání [BOSS]</t>
  </si>
  <si>
    <t xml:space="preserve">Potravinový syntetizér</t>
  </si>
  <si>
    <t xml:space="preserve">Stoly a židle</t>
  </si>
  <si>
    <t xml:space="preserve">Chladicí box</t>
  </si>
  <si>
    <t xml:space="preserve">Ohřívač/sporák</t>
  </si>
  <si>
    <t xml:space="preserve">Zásobník vody [BOSS]</t>
  </si>
  <si>
    <t xml:space="preserve">Lékárnička/medi-stanice</t>
  </si>
  <si>
    <t xml:space="preserve">Skenovací lůžko</t>
  </si>
  <si>
    <t xml:space="preserve">Zásoby léků</t>
  </si>
  <si>
    <t xml:space="preserve">Karanténní kapsle</t>
  </si>
  <si>
    <t xml:space="preserve">Osvětlení/sterilizace [BOSS]</t>
  </si>
  <si>
    <t xml:space="preserve">Přístrojová deska</t>
  </si>
  <si>
    <t xml:space="preserve">Pilotní sedačky</t>
  </si>
  <si>
    <t xml:space="preserve">Hlavní obrazovka/HUD</t>
  </si>
  <si>
    <t xml:space="preserve">Ovládací páky</t>
  </si>
  <si>
    <t xml:space="preserve">Okno kokpitu [BOSS]</t>
  </si>
  <si>
    <t xml:space="preserve">Senzory</t>
  </si>
  <si>
    <t xml:space="preserve">Radar</t>
  </si>
  <si>
    <t xml:space="preserve">Palubní počítač</t>
  </si>
  <si>
    <t xml:space="preserve">Hvězdná mapa</t>
  </si>
  <si>
    <t xml:space="preserve">Gyroskop [BOSS]</t>
  </si>
  <si>
    <t xml:space="preserve">Regály</t>
  </si>
  <si>
    <t xml:space="preserve">Nakládací rampa</t>
  </si>
  <si>
    <t xml:space="preserve">Upevňovací systém</t>
  </si>
  <si>
    <t xml:space="preserve">Osvětlení skladu</t>
  </si>
  <si>
    <t xml:space="preserve">Bezpečnostní sítě [BOSS]</t>
  </si>
  <si>
    <t xml:space="preserve">Hlavní motor</t>
  </si>
  <si>
    <t xml:space="preserve">Chladicí systém motoru</t>
  </si>
  <si>
    <t xml:space="preserve">Rozvody energie</t>
  </si>
  <si>
    <t xml:space="preserve">Záložní generátor</t>
  </si>
  <si>
    <t xml:space="preserve">Filtrace/výfuk [BOSS]</t>
  </si>
  <si>
    <t xml:space="preserve">Palivové nádrže</t>
  </si>
  <si>
    <t xml:space="preserve">Palivové čerpadlo</t>
  </si>
  <si>
    <t xml:space="preserve">Ventily</t>
  </si>
  <si>
    <t xml:space="preserve">Tlakoměry</t>
  </si>
  <si>
    <t xml:space="preserve">Izolace nádrží [BOSS]</t>
  </si>
  <si>
    <t xml:space="preserve">Jádro AI</t>
  </si>
  <si>
    <t xml:space="preserve">Datové úložiště</t>
  </si>
  <si>
    <t xml:space="preserve">Chlazení serverů</t>
  </si>
  <si>
    <t xml:space="preserve">Záložní baterie</t>
  </si>
  <si>
    <t xml:space="preserve">Bezpečnostní protokoly [BOSS]</t>
  </si>
  <si>
    <t xml:space="preserve">Vysílač</t>
  </si>
  <si>
    <t xml:space="preserve">Anténa</t>
  </si>
  <si>
    <t xml:space="preserve">Přijímač signálu</t>
  </si>
  <si>
    <t xml:space="preserve">Šifrovací modul</t>
  </si>
  <si>
    <t xml:space="preserve">Nouzový maják [BOSS]</t>
  </si>
  <si>
    <t xml:space="preserve">Pozn.: Boss položky (oranžové) NELZE koupit za Kredity — jsou podmínkou dokončení místnosti, musí se vyhrát boss level (viz list Ekonomika). 'Orientační počet levelů/pokusů' u Boss = očekávaný počet pokusů do výhry (1/úspěšnost boss levelu). Drahá varianta u Boss položek neplatí (0).</t>
  </si>
  <si>
    <t xml:space="preserve">Tempo a cílové ladění</t>
  </si>
  <si>
    <t xml:space="preserve">Uprav modré/žluté buňky (B sloupec) — vpravo se přepočítá dopad na tempo hry.</t>
  </si>
  <si>
    <t xml:space="preserve">Vstupní předpoklady</t>
  </si>
  <si>
    <t xml:space="preserve">Průměr Kreditů za vyhraný normální level</t>
  </si>
  <si>
    <t xml:space="preserve">vážený průměr přes 1★/2★/3★ odměnu (viz GDD 5.3)</t>
  </si>
  <si>
    <t xml:space="preserve">Úspěšnost normálního levelu (win rate)</t>
  </si>
  <si>
    <t xml:space="preserve">volná fáze — sníženo z 70 % na 60 %, aby se víc spotřebovávala energie</t>
  </si>
  <si>
    <t xml:space="preserve">Průměr pokusů o level / den</t>
  </si>
  <si>
    <t xml:space="preserve">energie: 5 životů, ~30 min/život, + občasná reklama/Stars (viz GDD 5.2)</t>
  </si>
  <si>
    <t xml:space="preserve">Úspěšnost BOSS levelu (win rate)</t>
  </si>
  <si>
    <t xml:space="preserve">výrazně nižší než normální levely — povinná výzva na konci místnosti</t>
  </si>
  <si>
    <t xml:space="preserve">Bonus násobič odměny za výhru boss levelu</t>
  </si>
  <si>
    <t xml:space="preserve">informativní odměna navíc (viz řádek 15) — NEODEČÍTÁ se z ceny, je to bonus/pocket money</t>
  </si>
  <si>
    <t xml:space="preserve">Násobič drahé varianty (u Normal položek)</t>
  </si>
  <si>
    <t xml:space="preserve">drahá varianta = levná × tenhle násobič (list Položky, sloupec G)</t>
  </si>
  <si>
    <t xml:space="preserve">Odvozené hodnoty</t>
  </si>
  <si>
    <t xml:space="preserve">Cena Normal položek celkem (Kredity)</t>
  </si>
  <si>
    <t xml:space="preserve">Bonus Kreditů za všechny boss výhry (informativní)</t>
  </si>
  <si>
    <t xml:space="preserve">Počet boss položek</t>
  </si>
  <si>
    <t xml:space="preserve">Vyhraných normálních levelů potřeba</t>
  </si>
  <si>
    <t xml:space="preserve">Pokusů na normální levely potřeba</t>
  </si>
  <si>
    <t xml:space="preserve">Pokusů na boss levely potřeba (očekávaně)</t>
  </si>
  <si>
    <t xml:space="preserve">Celkem pokusů potřeba</t>
  </si>
  <si>
    <t xml:space="preserve">Dní na kompletní opravu</t>
  </si>
  <si>
    <t xml:space="preserve">Týdnů na kompletní opravu</t>
  </si>
  <si>
    <t xml:space="preserve">Cílové tempo</t>
  </si>
  <si>
    <t xml:space="preserve">Cíl — min. týdnů</t>
  </si>
  <si>
    <t xml:space="preserve">rozhodnutí z GDD (sekce 7): ~1–2 týdny pro běžného neplaceného hráče</t>
  </si>
  <si>
    <t xml:space="preserve">Cíl — max. týdnů</t>
  </si>
  <si>
    <t xml:space="preserve">Vyhodnocení</t>
  </si>
  <si>
    <t xml:space="preserve">TODO — Mince (booster měna)</t>
  </si>
  <si>
    <t xml:space="preserve">Ceny boosterů a jejich zdroj ještě nejsou navržené. Bonus Kreditů z boss levelů (řádek 15) je kandidát na částečné financování boosterů/Mincí místo přímého odečtu z ceny kapitoly 1 — k rozhodnutí později.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</si>
</sst>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#,##0.0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D9D9D9"/>
      </patternFill>
    </fill>
    <fill>
      <patternFill patternType="solid">
        <fgColor rgb="FFF9CB9C"/>
        <bgColor rgb="FFF4CCCC"/>
      </patternFill>
    </fill>
    <fill>
      <patternFill patternType="solid">
        <fgColor rgb="FFCFE2F3"/>
        <bgColor rgb="FFD9D9D9"/>
      </patternFill>
    </fill>
    <fill>
      <patternFill patternType="solid">
        <fgColor rgb="FFF4CCCC"/>
        <bgColor rgb="FFF9CB9C"/>
      </patternFill>
    </fill>
    <fill>
      <patternFill patternType="solid">
        <fgColor rgb="FFD9D9D9"/>
        <bgColor rgb="FFCFE2F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4CCCC"/>
      <rgbColor rgb="FFD9D9D9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2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5" t="s">
        <v>8</v>
      </c>
      <c r="C5" s="6" t="s">
        <v>9</v>
      </c>
      <c r="D5" s="7" t="n">
        <f aca="false">SUMIF(Položky!$C$5:$C$64,B5,Položky!$F$5:$F$64)</f>
        <v>32</v>
      </c>
      <c r="E5" s="8" t="s">
        <v>10</v>
      </c>
      <c r="F5" s="9" t="n">
        <f aca="false">D5/Ekonomika!$B$14</f>
        <v>0.0581818181818182</v>
      </c>
    </row>
    <row r="6" customFormat="false" ht="15" hidden="false" customHeight="false" outlineLevel="0" collapsed="false">
      <c r="A6" s="4" t="n">
        <v>2</v>
      </c>
      <c r="B6" s="5" t="s">
        <v>11</v>
      </c>
      <c r="C6" s="6" t="s">
        <v>9</v>
      </c>
      <c r="D6" s="7" t="n">
        <f aca="false">SUMIF(Položky!$C$5:$C$64,B6,Položky!$F$5:$F$64)</f>
        <v>28</v>
      </c>
      <c r="E6" s="8" t="s">
        <v>12</v>
      </c>
      <c r="F6" s="9" t="n">
        <f aca="false">D6/Ekonomika!$B$14</f>
        <v>0.0509090909090909</v>
      </c>
    </row>
    <row r="7" customFormat="false" ht="15" hidden="false" customHeight="false" outlineLevel="0" collapsed="false">
      <c r="A7" s="4" t="n">
        <v>3</v>
      </c>
      <c r="B7" s="5" t="s">
        <v>13</v>
      </c>
      <c r="C7" s="6" t="s">
        <v>9</v>
      </c>
      <c r="D7" s="7" t="n">
        <f aca="false">SUMIF(Položky!$C$5:$C$64,B7,Položky!$F$5:$F$64)</f>
        <v>30</v>
      </c>
      <c r="E7" s="8" t="s">
        <v>14</v>
      </c>
      <c r="F7" s="9" t="n">
        <f aca="false">D7/Ekonomika!$B$14</f>
        <v>0.0545454545454545</v>
      </c>
    </row>
    <row r="8" customFormat="false" ht="15" hidden="false" customHeight="false" outlineLevel="0" collapsed="false">
      <c r="A8" s="4" t="n">
        <v>4</v>
      </c>
      <c r="B8" s="5" t="s">
        <v>15</v>
      </c>
      <c r="C8" s="6" t="s">
        <v>9</v>
      </c>
      <c r="D8" s="7" t="n">
        <f aca="false">SUMIF(Položky!$C$5:$C$64,B8,Položky!$F$5:$F$64)</f>
        <v>32</v>
      </c>
      <c r="E8" s="8" t="s">
        <v>16</v>
      </c>
      <c r="F8" s="9" t="n">
        <f aca="false">D8/Ekonomika!$B$14</f>
        <v>0.0581818181818182</v>
      </c>
    </row>
    <row r="9" customFormat="false" ht="15" hidden="false" customHeight="false" outlineLevel="0" collapsed="false">
      <c r="A9" s="4" t="n">
        <v>5</v>
      </c>
      <c r="B9" s="5" t="s">
        <v>17</v>
      </c>
      <c r="C9" s="6" t="s">
        <v>9</v>
      </c>
      <c r="D9" s="7" t="n">
        <f aca="false">SUMIF(Položky!$C$5:$C$64,B9,Položky!$F$5:$F$64)</f>
        <v>32</v>
      </c>
      <c r="E9" s="8" t="s">
        <v>18</v>
      </c>
      <c r="F9" s="9" t="n">
        <f aca="false">D9/Ekonomika!$B$14</f>
        <v>0.0581818181818182</v>
      </c>
    </row>
    <row r="10" customFormat="false" ht="15" hidden="false" customHeight="false" outlineLevel="0" collapsed="false">
      <c r="A10" s="4" t="n">
        <v>6</v>
      </c>
      <c r="B10" s="5" t="s">
        <v>19</v>
      </c>
      <c r="C10" s="10" t="s">
        <v>20</v>
      </c>
      <c r="D10" s="7" t="n">
        <f aca="false">SUMIF(Položky!$C$5:$C$64,B10,Položky!$F$5:$F$64)</f>
        <v>50</v>
      </c>
      <c r="E10" s="8" t="s">
        <v>21</v>
      </c>
      <c r="F10" s="9" t="n">
        <f aca="false">D10/Ekonomika!$B$14</f>
        <v>0.0909090909090909</v>
      </c>
    </row>
    <row r="11" customFormat="false" ht="15" hidden="false" customHeight="false" outlineLevel="0" collapsed="false">
      <c r="A11" s="4" t="n">
        <v>7</v>
      </c>
      <c r="B11" s="5" t="s">
        <v>22</v>
      </c>
      <c r="C11" s="10" t="s">
        <v>20</v>
      </c>
      <c r="D11" s="7" t="n">
        <f aca="false">SUMIF(Položky!$C$5:$C$64,B11,Položky!$F$5:$F$64)</f>
        <v>48</v>
      </c>
      <c r="E11" s="8" t="s">
        <v>23</v>
      </c>
      <c r="F11" s="9" t="n">
        <f aca="false">D11/Ekonomika!$B$14</f>
        <v>0.0872727272727273</v>
      </c>
    </row>
    <row r="12" customFormat="false" ht="15" hidden="false" customHeight="false" outlineLevel="0" collapsed="false">
      <c r="A12" s="4" t="n">
        <v>8</v>
      </c>
      <c r="B12" s="5" t="s">
        <v>24</v>
      </c>
      <c r="C12" s="10" t="s">
        <v>20</v>
      </c>
      <c r="D12" s="7" t="n">
        <f aca="false">SUMIF(Položky!$C$5:$C$64,B12,Položky!$F$5:$F$64)</f>
        <v>42</v>
      </c>
      <c r="E12" s="8" t="s">
        <v>25</v>
      </c>
      <c r="F12" s="9" t="n">
        <f aca="false">D12/Ekonomika!$B$14</f>
        <v>0.0763636363636364</v>
      </c>
    </row>
    <row r="13" customFormat="false" ht="15" hidden="false" customHeight="false" outlineLevel="0" collapsed="false">
      <c r="A13" s="4" t="n">
        <v>9</v>
      </c>
      <c r="B13" s="5" t="s">
        <v>26</v>
      </c>
      <c r="C13" s="10" t="s">
        <v>20</v>
      </c>
      <c r="D13" s="7" t="n">
        <f aca="false">SUMIF(Položky!$C$5:$C$64,B13,Položky!$F$5:$F$64)</f>
        <v>54</v>
      </c>
      <c r="E13" s="8" t="s">
        <v>27</v>
      </c>
      <c r="F13" s="9" t="n">
        <f aca="false">D13/Ekonomika!$B$14</f>
        <v>0.0981818181818182</v>
      </c>
    </row>
    <row r="14" customFormat="false" ht="15" hidden="false" customHeight="false" outlineLevel="0" collapsed="false">
      <c r="A14" s="4" t="n">
        <v>10</v>
      </c>
      <c r="B14" s="5" t="s">
        <v>28</v>
      </c>
      <c r="C14" s="10" t="s">
        <v>20</v>
      </c>
      <c r="D14" s="7" t="n">
        <f aca="false">SUMIF(Položky!$C$5:$C$64,B14,Položky!$F$5:$F$64)</f>
        <v>46</v>
      </c>
      <c r="E14" s="8" t="s">
        <v>29</v>
      </c>
      <c r="F14" s="9" t="n">
        <f aca="false">D14/Ekonomika!$B$14</f>
        <v>0.0836363636363636</v>
      </c>
    </row>
    <row r="15" customFormat="false" ht="15" hidden="false" customHeight="false" outlineLevel="0" collapsed="false">
      <c r="A15" s="4" t="n">
        <v>11</v>
      </c>
      <c r="B15" s="5" t="s">
        <v>30</v>
      </c>
      <c r="C15" s="11" t="s">
        <v>31</v>
      </c>
      <c r="D15" s="7" t="n">
        <f aca="false">SUMIF(Položky!$C$5:$C$64,B15,Položky!$F$5:$F$64)</f>
        <v>76</v>
      </c>
      <c r="E15" s="8" t="s">
        <v>32</v>
      </c>
      <c r="F15" s="9" t="n">
        <f aca="false">D15/Ekonomika!$B$14</f>
        <v>0.138181818181818</v>
      </c>
    </row>
    <row r="16" customFormat="false" ht="15" hidden="false" customHeight="false" outlineLevel="0" collapsed="false">
      <c r="A16" s="4" t="n">
        <v>12</v>
      </c>
      <c r="B16" s="5" t="s">
        <v>33</v>
      </c>
      <c r="C16" s="11" t="s">
        <v>31</v>
      </c>
      <c r="D16" s="7" t="n">
        <f aca="false">SUMIF(Položky!$C$5:$C$64,B16,Položky!$F$5:$F$64)</f>
        <v>80</v>
      </c>
      <c r="E16" s="8" t="s">
        <v>34</v>
      </c>
      <c r="F16" s="9" t="n">
        <f aca="false">D16/Ekonomika!$B$14</f>
        <v>0.145454545454545</v>
      </c>
    </row>
    <row r="17" customFormat="false" ht="15" hidden="false" customHeight="false" outlineLevel="0" collapsed="false">
      <c r="A17" s="12"/>
      <c r="B17" s="13" t="s">
        <v>35</v>
      </c>
      <c r="C17" s="14"/>
      <c r="D17" s="15" t="n">
        <f aca="false">SUM(D5:D16)</f>
        <v>550</v>
      </c>
      <c r="E17" s="14"/>
      <c r="F17" s="16" t="n">
        <f aca="false">SUM(F5:F16)</f>
        <v>1</v>
      </c>
    </row>
    <row r="19" customFormat="false" ht="27.75" hidden="false" customHeight="true" outlineLevel="0" collapsed="false">
      <c r="A19" s="17" t="s">
        <v>36</v>
      </c>
      <c r="B19" s="17"/>
      <c r="C19" s="17"/>
      <c r="D19" s="17"/>
      <c r="E19" s="17"/>
      <c r="F19" s="17"/>
    </row>
  </sheetData>
  <mergeCells count="1"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9.55" hidden="false" customHeight="false" outlineLevel="0" collapsed="false">
      <c r="A4" s="3" t="s">
        <v>39</v>
      </c>
      <c r="B4" s="3" t="s">
        <v>4</v>
      </c>
      <c r="C4" s="3" t="s">
        <v>3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</row>
    <row r="5" customFormat="false" ht="15" hidden="false" customHeight="false" outlineLevel="0" collapsed="false">
      <c r="A5" s="4" t="n">
        <v>1</v>
      </c>
      <c r="B5" s="6" t="s">
        <v>9</v>
      </c>
      <c r="C5" s="5" t="s">
        <v>8</v>
      </c>
      <c r="D5" s="5" t="s">
        <v>45</v>
      </c>
      <c r="E5" s="5" t="s">
        <v>46</v>
      </c>
      <c r="F5" s="18" t="n">
        <v>8</v>
      </c>
      <c r="G5" s="19" t="n">
        <f aca="false">F5*Ekonomika!$B$11</f>
        <v>12.8</v>
      </c>
      <c r="H5" s="19" t="n">
        <f aca="false">F5/Ekonomika!$B$5</f>
        <v>0.533333333333333</v>
      </c>
    </row>
    <row r="6" customFormat="false" ht="15" hidden="false" customHeight="false" outlineLevel="0" collapsed="false">
      <c r="A6" s="4" t="n">
        <v>1</v>
      </c>
      <c r="B6" s="6" t="s">
        <v>9</v>
      </c>
      <c r="C6" s="5" t="s">
        <v>8</v>
      </c>
      <c r="D6" s="5" t="s">
        <v>47</v>
      </c>
      <c r="E6" s="5" t="s">
        <v>46</v>
      </c>
      <c r="F6" s="18" t="n">
        <v>8</v>
      </c>
      <c r="G6" s="19" t="n">
        <f aca="false">F6*Ekonomika!$B$11</f>
        <v>12.8</v>
      </c>
      <c r="H6" s="19" t="n">
        <f aca="false">F6/Ekonomika!$B$5</f>
        <v>0.533333333333333</v>
      </c>
    </row>
    <row r="7" customFormat="false" ht="15" hidden="false" customHeight="false" outlineLevel="0" collapsed="false">
      <c r="A7" s="4" t="n">
        <v>1</v>
      </c>
      <c r="B7" s="6" t="s">
        <v>9</v>
      </c>
      <c r="C7" s="5" t="s">
        <v>8</v>
      </c>
      <c r="D7" s="5" t="s">
        <v>48</v>
      </c>
      <c r="E7" s="5" t="s">
        <v>46</v>
      </c>
      <c r="F7" s="18" t="n">
        <v>6</v>
      </c>
      <c r="G7" s="19" t="n">
        <f aca="false">F7*Ekonomika!$B$11</f>
        <v>9.6</v>
      </c>
      <c r="H7" s="19" t="n">
        <f aca="false">F7/Ekonomika!$B$5</f>
        <v>0.4</v>
      </c>
    </row>
    <row r="8" customFormat="false" ht="15" hidden="false" customHeight="false" outlineLevel="0" collapsed="false">
      <c r="A8" s="4" t="n">
        <v>1</v>
      </c>
      <c r="B8" s="6" t="s">
        <v>9</v>
      </c>
      <c r="C8" s="5" t="s">
        <v>8</v>
      </c>
      <c r="D8" s="5" t="s">
        <v>49</v>
      </c>
      <c r="E8" s="5" t="s">
        <v>46</v>
      </c>
      <c r="F8" s="18" t="n">
        <v>10</v>
      </c>
      <c r="G8" s="19" t="n">
        <f aca="false">F8*Ekonomika!$B$11</f>
        <v>16</v>
      </c>
      <c r="H8" s="19" t="n">
        <f aca="false">F8/Ekonomika!$B$5</f>
        <v>0.666666666666667</v>
      </c>
    </row>
    <row r="9" customFormat="false" ht="15" hidden="false" customHeight="false" outlineLevel="0" collapsed="false">
      <c r="A9" s="4" t="n">
        <v>1</v>
      </c>
      <c r="B9" s="6" t="s">
        <v>9</v>
      </c>
      <c r="C9" s="8" t="s">
        <v>8</v>
      </c>
      <c r="D9" s="8" t="s">
        <v>50</v>
      </c>
      <c r="E9" s="20" t="s">
        <v>51</v>
      </c>
      <c r="F9" s="21" t="n">
        <v>0</v>
      </c>
      <c r="G9" s="21" t="n">
        <v>0</v>
      </c>
      <c r="H9" s="22" t="n">
        <f aca="false">1/Ekonomika!$B$8</f>
        <v>2.85714285714286</v>
      </c>
    </row>
    <row r="10" customFormat="false" ht="15" hidden="false" customHeight="false" outlineLevel="0" collapsed="false">
      <c r="A10" s="4" t="n">
        <v>2</v>
      </c>
      <c r="B10" s="6" t="s">
        <v>9</v>
      </c>
      <c r="C10" s="5" t="s">
        <v>11</v>
      </c>
      <c r="D10" s="5" t="s">
        <v>52</v>
      </c>
      <c r="E10" s="5" t="s">
        <v>46</v>
      </c>
      <c r="F10" s="18" t="n">
        <v>6</v>
      </c>
      <c r="G10" s="19" t="n">
        <f aca="false">F10*Ekonomika!$B$11</f>
        <v>9.6</v>
      </c>
      <c r="H10" s="19" t="n">
        <f aca="false">F10/Ekonomika!$B$5</f>
        <v>0.4</v>
      </c>
    </row>
    <row r="11" customFormat="false" ht="15" hidden="false" customHeight="false" outlineLevel="0" collapsed="false">
      <c r="A11" s="4" t="n">
        <v>2</v>
      </c>
      <c r="B11" s="6" t="s">
        <v>9</v>
      </c>
      <c r="C11" s="5" t="s">
        <v>11</v>
      </c>
      <c r="D11" s="5" t="s">
        <v>53</v>
      </c>
      <c r="E11" s="5" t="s">
        <v>46</v>
      </c>
      <c r="F11" s="18" t="n">
        <v>6</v>
      </c>
      <c r="G11" s="19" t="n">
        <f aca="false">F11*Ekonomika!$B$11</f>
        <v>9.6</v>
      </c>
      <c r="H11" s="19" t="n">
        <f aca="false">F11/Ekonomika!$B$5</f>
        <v>0.4</v>
      </c>
    </row>
    <row r="12" customFormat="false" ht="15" hidden="false" customHeight="false" outlineLevel="0" collapsed="false">
      <c r="A12" s="4" t="n">
        <v>2</v>
      </c>
      <c r="B12" s="6" t="s">
        <v>9</v>
      </c>
      <c r="C12" s="5" t="s">
        <v>11</v>
      </c>
      <c r="D12" s="5" t="s">
        <v>54</v>
      </c>
      <c r="E12" s="5" t="s">
        <v>46</v>
      </c>
      <c r="F12" s="18" t="n">
        <v>6</v>
      </c>
      <c r="G12" s="19" t="n">
        <f aca="false">F12*Ekonomika!$B$11</f>
        <v>9.6</v>
      </c>
      <c r="H12" s="19" t="n">
        <f aca="false">F12/Ekonomika!$B$5</f>
        <v>0.4</v>
      </c>
    </row>
    <row r="13" customFormat="false" ht="15" hidden="false" customHeight="false" outlineLevel="0" collapsed="false">
      <c r="A13" s="4" t="n">
        <v>2</v>
      </c>
      <c r="B13" s="6" t="s">
        <v>9</v>
      </c>
      <c r="C13" s="5" t="s">
        <v>11</v>
      </c>
      <c r="D13" s="5" t="s">
        <v>55</v>
      </c>
      <c r="E13" s="5" t="s">
        <v>46</v>
      </c>
      <c r="F13" s="18" t="n">
        <v>10</v>
      </c>
      <c r="G13" s="19" t="n">
        <f aca="false">F13*Ekonomika!$B$11</f>
        <v>16</v>
      </c>
      <c r="H13" s="19" t="n">
        <f aca="false">F13/Ekonomika!$B$5</f>
        <v>0.666666666666667</v>
      </c>
    </row>
    <row r="14" customFormat="false" ht="15" hidden="false" customHeight="false" outlineLevel="0" collapsed="false">
      <c r="A14" s="4" t="n">
        <v>2</v>
      </c>
      <c r="B14" s="6" t="s">
        <v>9</v>
      </c>
      <c r="C14" s="8" t="s">
        <v>11</v>
      </c>
      <c r="D14" s="8" t="s">
        <v>56</v>
      </c>
      <c r="E14" s="20" t="s">
        <v>51</v>
      </c>
      <c r="F14" s="21" t="n">
        <v>0</v>
      </c>
      <c r="G14" s="21" t="n">
        <v>0</v>
      </c>
      <c r="H14" s="22" t="n">
        <f aca="false">1/Ekonomika!$B$8</f>
        <v>2.85714285714286</v>
      </c>
    </row>
    <row r="15" customFormat="false" ht="15" hidden="false" customHeight="false" outlineLevel="0" collapsed="false">
      <c r="A15" s="4" t="n">
        <v>3</v>
      </c>
      <c r="B15" s="6" t="s">
        <v>9</v>
      </c>
      <c r="C15" s="5" t="s">
        <v>13</v>
      </c>
      <c r="D15" s="5" t="s">
        <v>57</v>
      </c>
      <c r="E15" s="5" t="s">
        <v>46</v>
      </c>
      <c r="F15" s="18" t="n">
        <v>8</v>
      </c>
      <c r="G15" s="19" t="n">
        <f aca="false">F15*Ekonomika!$B$11</f>
        <v>12.8</v>
      </c>
      <c r="H15" s="19" t="n">
        <f aca="false">F15/Ekonomika!$B$5</f>
        <v>0.533333333333333</v>
      </c>
    </row>
    <row r="16" customFormat="false" ht="15" hidden="false" customHeight="false" outlineLevel="0" collapsed="false">
      <c r="A16" s="4" t="n">
        <v>3</v>
      </c>
      <c r="B16" s="6" t="s">
        <v>9</v>
      </c>
      <c r="C16" s="5" t="s">
        <v>13</v>
      </c>
      <c r="D16" s="5" t="s">
        <v>58</v>
      </c>
      <c r="E16" s="5" t="s">
        <v>46</v>
      </c>
      <c r="F16" s="18" t="n">
        <v>10</v>
      </c>
      <c r="G16" s="19" t="n">
        <f aca="false">F16*Ekonomika!$B$11</f>
        <v>16</v>
      </c>
      <c r="H16" s="19" t="n">
        <f aca="false">F16/Ekonomika!$B$5</f>
        <v>0.666666666666667</v>
      </c>
    </row>
    <row r="17" customFormat="false" ht="15" hidden="false" customHeight="false" outlineLevel="0" collapsed="false">
      <c r="A17" s="4" t="n">
        <v>3</v>
      </c>
      <c r="B17" s="6" t="s">
        <v>9</v>
      </c>
      <c r="C17" s="5" t="s">
        <v>13</v>
      </c>
      <c r="D17" s="5" t="s">
        <v>59</v>
      </c>
      <c r="E17" s="5" t="s">
        <v>46</v>
      </c>
      <c r="F17" s="18" t="n">
        <v>6</v>
      </c>
      <c r="G17" s="19" t="n">
        <f aca="false">F17*Ekonomika!$B$11</f>
        <v>9.6</v>
      </c>
      <c r="H17" s="19" t="n">
        <f aca="false">F17/Ekonomika!$B$5</f>
        <v>0.4</v>
      </c>
    </row>
    <row r="18" customFormat="false" ht="15" hidden="false" customHeight="false" outlineLevel="0" collapsed="false">
      <c r="A18" s="4" t="n">
        <v>3</v>
      </c>
      <c r="B18" s="6" t="s">
        <v>9</v>
      </c>
      <c r="C18" s="5" t="s">
        <v>13</v>
      </c>
      <c r="D18" s="5" t="s">
        <v>60</v>
      </c>
      <c r="E18" s="5" t="s">
        <v>46</v>
      </c>
      <c r="F18" s="18" t="n">
        <v>6</v>
      </c>
      <c r="G18" s="19" t="n">
        <f aca="false">F18*Ekonomika!$B$11</f>
        <v>9.6</v>
      </c>
      <c r="H18" s="19" t="n">
        <f aca="false">F18/Ekonomika!$B$5</f>
        <v>0.4</v>
      </c>
    </row>
    <row r="19" customFormat="false" ht="15" hidden="false" customHeight="false" outlineLevel="0" collapsed="false">
      <c r="A19" s="4" t="n">
        <v>3</v>
      </c>
      <c r="B19" s="6" t="s">
        <v>9</v>
      </c>
      <c r="C19" s="8" t="s">
        <v>13</v>
      </c>
      <c r="D19" s="8" t="s">
        <v>61</v>
      </c>
      <c r="E19" s="20" t="s">
        <v>51</v>
      </c>
      <c r="F19" s="21" t="n">
        <v>0</v>
      </c>
      <c r="G19" s="21" t="n">
        <v>0</v>
      </c>
      <c r="H19" s="22" t="n">
        <f aca="false">1/Ekonomika!$B$8</f>
        <v>2.85714285714286</v>
      </c>
    </row>
    <row r="20" customFormat="false" ht="15" hidden="false" customHeight="false" outlineLevel="0" collapsed="false">
      <c r="A20" s="4" t="n">
        <v>4</v>
      </c>
      <c r="B20" s="6" t="s">
        <v>9</v>
      </c>
      <c r="C20" s="5" t="s">
        <v>15</v>
      </c>
      <c r="D20" s="5" t="s">
        <v>62</v>
      </c>
      <c r="E20" s="5" t="s">
        <v>46</v>
      </c>
      <c r="F20" s="18" t="n">
        <v>10</v>
      </c>
      <c r="G20" s="19" t="n">
        <f aca="false">F20*Ekonomika!$B$11</f>
        <v>16</v>
      </c>
      <c r="H20" s="19" t="n">
        <f aca="false">F20/Ekonomika!$B$5</f>
        <v>0.666666666666667</v>
      </c>
    </row>
    <row r="21" customFormat="false" ht="15" hidden="false" customHeight="false" outlineLevel="0" collapsed="false">
      <c r="A21" s="4" t="n">
        <v>4</v>
      </c>
      <c r="B21" s="6" t="s">
        <v>9</v>
      </c>
      <c r="C21" s="5" t="s">
        <v>15</v>
      </c>
      <c r="D21" s="5" t="s">
        <v>63</v>
      </c>
      <c r="E21" s="5" t="s">
        <v>46</v>
      </c>
      <c r="F21" s="18" t="n">
        <v>6</v>
      </c>
      <c r="G21" s="19" t="n">
        <f aca="false">F21*Ekonomika!$B$11</f>
        <v>9.6</v>
      </c>
      <c r="H21" s="19" t="n">
        <f aca="false">F21/Ekonomika!$B$5</f>
        <v>0.4</v>
      </c>
    </row>
    <row r="22" customFormat="false" ht="15" hidden="false" customHeight="false" outlineLevel="0" collapsed="false">
      <c r="A22" s="4" t="n">
        <v>4</v>
      </c>
      <c r="B22" s="6" t="s">
        <v>9</v>
      </c>
      <c r="C22" s="5" t="s">
        <v>15</v>
      </c>
      <c r="D22" s="5" t="s">
        <v>64</v>
      </c>
      <c r="E22" s="5" t="s">
        <v>46</v>
      </c>
      <c r="F22" s="18" t="n">
        <v>8</v>
      </c>
      <c r="G22" s="19" t="n">
        <f aca="false">F22*Ekonomika!$B$11</f>
        <v>12.8</v>
      </c>
      <c r="H22" s="19" t="n">
        <f aca="false">F22/Ekonomika!$B$5</f>
        <v>0.533333333333333</v>
      </c>
    </row>
    <row r="23" customFormat="false" ht="15" hidden="false" customHeight="false" outlineLevel="0" collapsed="false">
      <c r="A23" s="4" t="n">
        <v>4</v>
      </c>
      <c r="B23" s="6" t="s">
        <v>9</v>
      </c>
      <c r="C23" s="5" t="s">
        <v>15</v>
      </c>
      <c r="D23" s="5" t="s">
        <v>65</v>
      </c>
      <c r="E23" s="5" t="s">
        <v>46</v>
      </c>
      <c r="F23" s="18" t="n">
        <v>8</v>
      </c>
      <c r="G23" s="19" t="n">
        <f aca="false">F23*Ekonomika!$B$11</f>
        <v>12.8</v>
      </c>
      <c r="H23" s="19" t="n">
        <f aca="false">F23/Ekonomika!$B$5</f>
        <v>0.533333333333333</v>
      </c>
    </row>
    <row r="24" customFormat="false" ht="15" hidden="false" customHeight="false" outlineLevel="0" collapsed="false">
      <c r="A24" s="4" t="n">
        <v>4</v>
      </c>
      <c r="B24" s="6" t="s">
        <v>9</v>
      </c>
      <c r="C24" s="8" t="s">
        <v>15</v>
      </c>
      <c r="D24" s="8" t="s">
        <v>66</v>
      </c>
      <c r="E24" s="20" t="s">
        <v>51</v>
      </c>
      <c r="F24" s="21" t="n">
        <v>0</v>
      </c>
      <c r="G24" s="21" t="n">
        <v>0</v>
      </c>
      <c r="H24" s="22" t="n">
        <f aca="false">1/Ekonomika!$B$8</f>
        <v>2.85714285714286</v>
      </c>
    </row>
    <row r="25" customFormat="false" ht="15" hidden="false" customHeight="false" outlineLevel="0" collapsed="false">
      <c r="A25" s="4" t="n">
        <v>5</v>
      </c>
      <c r="B25" s="6" t="s">
        <v>9</v>
      </c>
      <c r="C25" s="5" t="s">
        <v>17</v>
      </c>
      <c r="D25" s="5" t="s">
        <v>67</v>
      </c>
      <c r="E25" s="5" t="s">
        <v>46</v>
      </c>
      <c r="F25" s="18" t="n">
        <v>8</v>
      </c>
      <c r="G25" s="19" t="n">
        <f aca="false">F25*Ekonomika!$B$11</f>
        <v>12.8</v>
      </c>
      <c r="H25" s="19" t="n">
        <f aca="false">F25/Ekonomika!$B$5</f>
        <v>0.533333333333333</v>
      </c>
    </row>
    <row r="26" customFormat="false" ht="15" hidden="false" customHeight="false" outlineLevel="0" collapsed="false">
      <c r="A26" s="4" t="n">
        <v>5</v>
      </c>
      <c r="B26" s="6" t="s">
        <v>9</v>
      </c>
      <c r="C26" s="5" t="s">
        <v>17</v>
      </c>
      <c r="D26" s="5" t="s">
        <v>68</v>
      </c>
      <c r="E26" s="5" t="s">
        <v>46</v>
      </c>
      <c r="F26" s="18" t="n">
        <v>10</v>
      </c>
      <c r="G26" s="19" t="n">
        <f aca="false">F26*Ekonomika!$B$11</f>
        <v>16</v>
      </c>
      <c r="H26" s="19" t="n">
        <f aca="false">F26/Ekonomika!$B$5</f>
        <v>0.666666666666667</v>
      </c>
    </row>
    <row r="27" customFormat="false" ht="15" hidden="false" customHeight="false" outlineLevel="0" collapsed="false">
      <c r="A27" s="4" t="n">
        <v>5</v>
      </c>
      <c r="B27" s="6" t="s">
        <v>9</v>
      </c>
      <c r="C27" s="5" t="s">
        <v>17</v>
      </c>
      <c r="D27" s="5" t="s">
        <v>69</v>
      </c>
      <c r="E27" s="5" t="s">
        <v>46</v>
      </c>
      <c r="F27" s="18" t="n">
        <v>6</v>
      </c>
      <c r="G27" s="19" t="n">
        <f aca="false">F27*Ekonomika!$B$11</f>
        <v>9.6</v>
      </c>
      <c r="H27" s="19" t="n">
        <f aca="false">F27/Ekonomika!$B$5</f>
        <v>0.4</v>
      </c>
    </row>
    <row r="28" customFormat="false" ht="15" hidden="false" customHeight="false" outlineLevel="0" collapsed="false">
      <c r="A28" s="4" t="n">
        <v>5</v>
      </c>
      <c r="B28" s="6" t="s">
        <v>9</v>
      </c>
      <c r="C28" s="5" t="s">
        <v>17</v>
      </c>
      <c r="D28" s="5" t="s">
        <v>70</v>
      </c>
      <c r="E28" s="5" t="s">
        <v>46</v>
      </c>
      <c r="F28" s="18" t="n">
        <v>8</v>
      </c>
      <c r="G28" s="19" t="n">
        <f aca="false">F28*Ekonomika!$B$11</f>
        <v>12.8</v>
      </c>
      <c r="H28" s="19" t="n">
        <f aca="false">F28/Ekonomika!$B$5</f>
        <v>0.533333333333333</v>
      </c>
    </row>
    <row r="29" customFormat="false" ht="15" hidden="false" customHeight="false" outlineLevel="0" collapsed="false">
      <c r="A29" s="4" t="n">
        <v>5</v>
      </c>
      <c r="B29" s="6" t="s">
        <v>9</v>
      </c>
      <c r="C29" s="8" t="s">
        <v>17</v>
      </c>
      <c r="D29" s="8" t="s">
        <v>71</v>
      </c>
      <c r="E29" s="20" t="s">
        <v>51</v>
      </c>
      <c r="F29" s="21" t="n">
        <v>0</v>
      </c>
      <c r="G29" s="21" t="n">
        <v>0</v>
      </c>
      <c r="H29" s="22" t="n">
        <f aca="false">1/Ekonomika!$B$8</f>
        <v>2.85714285714286</v>
      </c>
    </row>
    <row r="30" customFormat="false" ht="15" hidden="false" customHeight="false" outlineLevel="0" collapsed="false">
      <c r="A30" s="4" t="n">
        <v>6</v>
      </c>
      <c r="B30" s="10" t="s">
        <v>20</v>
      </c>
      <c r="C30" s="5" t="s">
        <v>19</v>
      </c>
      <c r="D30" s="5" t="s">
        <v>72</v>
      </c>
      <c r="E30" s="5" t="s">
        <v>46</v>
      </c>
      <c r="F30" s="18" t="n">
        <v>14</v>
      </c>
      <c r="G30" s="19" t="n">
        <f aca="false">F30*Ekonomika!$B$11</f>
        <v>22.4</v>
      </c>
      <c r="H30" s="19" t="n">
        <f aca="false">F30/Ekonomika!$B$5</f>
        <v>0.933333333333333</v>
      </c>
    </row>
    <row r="31" customFormat="false" ht="15" hidden="false" customHeight="false" outlineLevel="0" collapsed="false">
      <c r="A31" s="4" t="n">
        <v>6</v>
      </c>
      <c r="B31" s="10" t="s">
        <v>20</v>
      </c>
      <c r="C31" s="5" t="s">
        <v>19</v>
      </c>
      <c r="D31" s="5" t="s">
        <v>73</v>
      </c>
      <c r="E31" s="5" t="s">
        <v>46</v>
      </c>
      <c r="F31" s="18" t="n">
        <v>10</v>
      </c>
      <c r="G31" s="19" t="n">
        <f aca="false">F31*Ekonomika!$B$11</f>
        <v>16</v>
      </c>
      <c r="H31" s="19" t="n">
        <f aca="false">F31/Ekonomika!$B$5</f>
        <v>0.666666666666667</v>
      </c>
    </row>
    <row r="32" customFormat="false" ht="15" hidden="false" customHeight="false" outlineLevel="0" collapsed="false">
      <c r="A32" s="4" t="n">
        <v>6</v>
      </c>
      <c r="B32" s="10" t="s">
        <v>20</v>
      </c>
      <c r="C32" s="5" t="s">
        <v>19</v>
      </c>
      <c r="D32" s="5" t="s">
        <v>74</v>
      </c>
      <c r="E32" s="5" t="s">
        <v>46</v>
      </c>
      <c r="F32" s="18" t="n">
        <v>14</v>
      </c>
      <c r="G32" s="19" t="n">
        <f aca="false">F32*Ekonomika!$B$11</f>
        <v>22.4</v>
      </c>
      <c r="H32" s="19" t="n">
        <f aca="false">F32/Ekonomika!$B$5</f>
        <v>0.933333333333333</v>
      </c>
    </row>
    <row r="33" customFormat="false" ht="15" hidden="false" customHeight="false" outlineLevel="0" collapsed="false">
      <c r="A33" s="4" t="n">
        <v>6</v>
      </c>
      <c r="B33" s="10" t="s">
        <v>20</v>
      </c>
      <c r="C33" s="5" t="s">
        <v>19</v>
      </c>
      <c r="D33" s="5" t="s">
        <v>75</v>
      </c>
      <c r="E33" s="5" t="s">
        <v>46</v>
      </c>
      <c r="F33" s="18" t="n">
        <v>12</v>
      </c>
      <c r="G33" s="19" t="n">
        <f aca="false">F33*Ekonomika!$B$11</f>
        <v>19.2</v>
      </c>
      <c r="H33" s="19" t="n">
        <f aca="false">F33/Ekonomika!$B$5</f>
        <v>0.8</v>
      </c>
    </row>
    <row r="34" customFormat="false" ht="15" hidden="false" customHeight="false" outlineLevel="0" collapsed="false">
      <c r="A34" s="4" t="n">
        <v>6</v>
      </c>
      <c r="B34" s="10" t="s">
        <v>20</v>
      </c>
      <c r="C34" s="8" t="s">
        <v>19</v>
      </c>
      <c r="D34" s="8" t="s">
        <v>76</v>
      </c>
      <c r="E34" s="20" t="s">
        <v>51</v>
      </c>
      <c r="F34" s="21" t="n">
        <v>0</v>
      </c>
      <c r="G34" s="21" t="n">
        <v>0</v>
      </c>
      <c r="H34" s="22" t="n">
        <f aca="false">1/Ekonomika!$B$8</f>
        <v>2.85714285714286</v>
      </c>
    </row>
    <row r="35" customFormat="false" ht="15" hidden="false" customHeight="false" outlineLevel="0" collapsed="false">
      <c r="A35" s="4" t="n">
        <v>7</v>
      </c>
      <c r="B35" s="10" t="s">
        <v>20</v>
      </c>
      <c r="C35" s="5" t="s">
        <v>22</v>
      </c>
      <c r="D35" s="5" t="s">
        <v>77</v>
      </c>
      <c r="E35" s="5" t="s">
        <v>46</v>
      </c>
      <c r="F35" s="18" t="n">
        <v>12</v>
      </c>
      <c r="G35" s="19" t="n">
        <f aca="false">F35*Ekonomika!$B$11</f>
        <v>19.2</v>
      </c>
      <c r="H35" s="19" t="n">
        <f aca="false">F35/Ekonomika!$B$5</f>
        <v>0.8</v>
      </c>
    </row>
    <row r="36" customFormat="false" ht="15" hidden="false" customHeight="false" outlineLevel="0" collapsed="false">
      <c r="A36" s="4" t="n">
        <v>7</v>
      </c>
      <c r="B36" s="10" t="s">
        <v>20</v>
      </c>
      <c r="C36" s="5" t="s">
        <v>22</v>
      </c>
      <c r="D36" s="5" t="s">
        <v>78</v>
      </c>
      <c r="E36" s="5" t="s">
        <v>46</v>
      </c>
      <c r="F36" s="18" t="n">
        <v>12</v>
      </c>
      <c r="G36" s="19" t="n">
        <f aca="false">F36*Ekonomika!$B$11</f>
        <v>19.2</v>
      </c>
      <c r="H36" s="19" t="n">
        <f aca="false">F36/Ekonomika!$B$5</f>
        <v>0.8</v>
      </c>
    </row>
    <row r="37" customFormat="false" ht="15" hidden="false" customHeight="false" outlineLevel="0" collapsed="false">
      <c r="A37" s="4" t="n">
        <v>7</v>
      </c>
      <c r="B37" s="10" t="s">
        <v>20</v>
      </c>
      <c r="C37" s="5" t="s">
        <v>22</v>
      </c>
      <c r="D37" s="5" t="s">
        <v>79</v>
      </c>
      <c r="E37" s="5" t="s">
        <v>46</v>
      </c>
      <c r="F37" s="18" t="n">
        <v>14</v>
      </c>
      <c r="G37" s="19" t="n">
        <f aca="false">F37*Ekonomika!$B$11</f>
        <v>22.4</v>
      </c>
      <c r="H37" s="19" t="n">
        <f aca="false">F37/Ekonomika!$B$5</f>
        <v>0.933333333333333</v>
      </c>
    </row>
    <row r="38" customFormat="false" ht="15" hidden="false" customHeight="false" outlineLevel="0" collapsed="false">
      <c r="A38" s="4" t="n">
        <v>7</v>
      </c>
      <c r="B38" s="10" t="s">
        <v>20</v>
      </c>
      <c r="C38" s="5" t="s">
        <v>22</v>
      </c>
      <c r="D38" s="5" t="s">
        <v>80</v>
      </c>
      <c r="E38" s="5" t="s">
        <v>46</v>
      </c>
      <c r="F38" s="18" t="n">
        <v>10</v>
      </c>
      <c r="G38" s="19" t="n">
        <f aca="false">F38*Ekonomika!$B$11</f>
        <v>16</v>
      </c>
      <c r="H38" s="19" t="n">
        <f aca="false">F38/Ekonomika!$B$5</f>
        <v>0.666666666666667</v>
      </c>
    </row>
    <row r="39" customFormat="false" ht="15" hidden="false" customHeight="false" outlineLevel="0" collapsed="false">
      <c r="A39" s="4" t="n">
        <v>7</v>
      </c>
      <c r="B39" s="10" t="s">
        <v>20</v>
      </c>
      <c r="C39" s="8" t="s">
        <v>22</v>
      </c>
      <c r="D39" s="8" t="s">
        <v>81</v>
      </c>
      <c r="E39" s="20" t="s">
        <v>51</v>
      </c>
      <c r="F39" s="21" t="n">
        <v>0</v>
      </c>
      <c r="G39" s="21" t="n">
        <v>0</v>
      </c>
      <c r="H39" s="22" t="n">
        <f aca="false">1/Ekonomika!$B$8</f>
        <v>2.85714285714286</v>
      </c>
    </row>
    <row r="40" customFormat="false" ht="15" hidden="false" customHeight="false" outlineLevel="0" collapsed="false">
      <c r="A40" s="4" t="n">
        <v>8</v>
      </c>
      <c r="B40" s="10" t="s">
        <v>20</v>
      </c>
      <c r="C40" s="5" t="s">
        <v>24</v>
      </c>
      <c r="D40" s="5" t="s">
        <v>82</v>
      </c>
      <c r="E40" s="5" t="s">
        <v>46</v>
      </c>
      <c r="F40" s="18" t="n">
        <v>10</v>
      </c>
      <c r="G40" s="19" t="n">
        <f aca="false">F40*Ekonomika!$B$11</f>
        <v>16</v>
      </c>
      <c r="H40" s="19" t="n">
        <f aca="false">F40/Ekonomika!$B$5</f>
        <v>0.666666666666667</v>
      </c>
    </row>
    <row r="41" customFormat="false" ht="15" hidden="false" customHeight="false" outlineLevel="0" collapsed="false">
      <c r="A41" s="4" t="n">
        <v>8</v>
      </c>
      <c r="B41" s="10" t="s">
        <v>20</v>
      </c>
      <c r="C41" s="5" t="s">
        <v>24</v>
      </c>
      <c r="D41" s="5" t="s">
        <v>83</v>
      </c>
      <c r="E41" s="5" t="s">
        <v>46</v>
      </c>
      <c r="F41" s="18" t="n">
        <v>12</v>
      </c>
      <c r="G41" s="19" t="n">
        <f aca="false">F41*Ekonomika!$B$11</f>
        <v>19.2</v>
      </c>
      <c r="H41" s="19" t="n">
        <f aca="false">F41/Ekonomika!$B$5</f>
        <v>0.8</v>
      </c>
    </row>
    <row r="42" customFormat="false" ht="15" hidden="false" customHeight="false" outlineLevel="0" collapsed="false">
      <c r="A42" s="4" t="n">
        <v>8</v>
      </c>
      <c r="B42" s="10" t="s">
        <v>20</v>
      </c>
      <c r="C42" s="5" t="s">
        <v>24</v>
      </c>
      <c r="D42" s="5" t="s">
        <v>84</v>
      </c>
      <c r="E42" s="5" t="s">
        <v>46</v>
      </c>
      <c r="F42" s="18" t="n">
        <v>10</v>
      </c>
      <c r="G42" s="19" t="n">
        <f aca="false">F42*Ekonomika!$B$11</f>
        <v>16</v>
      </c>
      <c r="H42" s="19" t="n">
        <f aca="false">F42/Ekonomika!$B$5</f>
        <v>0.666666666666667</v>
      </c>
    </row>
    <row r="43" customFormat="false" ht="15" hidden="false" customHeight="false" outlineLevel="0" collapsed="false">
      <c r="A43" s="4" t="n">
        <v>8</v>
      </c>
      <c r="B43" s="10" t="s">
        <v>20</v>
      </c>
      <c r="C43" s="5" t="s">
        <v>24</v>
      </c>
      <c r="D43" s="5" t="s">
        <v>85</v>
      </c>
      <c r="E43" s="5" t="s">
        <v>46</v>
      </c>
      <c r="F43" s="18" t="n">
        <v>10</v>
      </c>
      <c r="G43" s="19" t="n">
        <f aca="false">F43*Ekonomika!$B$11</f>
        <v>16</v>
      </c>
      <c r="H43" s="19" t="n">
        <f aca="false">F43/Ekonomika!$B$5</f>
        <v>0.666666666666667</v>
      </c>
    </row>
    <row r="44" customFormat="false" ht="15" hidden="false" customHeight="false" outlineLevel="0" collapsed="false">
      <c r="A44" s="4" t="n">
        <v>8</v>
      </c>
      <c r="B44" s="10" t="s">
        <v>20</v>
      </c>
      <c r="C44" s="8" t="s">
        <v>24</v>
      </c>
      <c r="D44" s="8" t="s">
        <v>86</v>
      </c>
      <c r="E44" s="20" t="s">
        <v>51</v>
      </c>
      <c r="F44" s="21" t="n">
        <v>0</v>
      </c>
      <c r="G44" s="21" t="n">
        <v>0</v>
      </c>
      <c r="H44" s="22" t="n">
        <f aca="false">1/Ekonomika!$B$8</f>
        <v>2.85714285714286</v>
      </c>
    </row>
    <row r="45" customFormat="false" ht="15" hidden="false" customHeight="false" outlineLevel="0" collapsed="false">
      <c r="A45" s="4" t="n">
        <v>9</v>
      </c>
      <c r="B45" s="10" t="s">
        <v>20</v>
      </c>
      <c r="C45" s="5" t="s">
        <v>26</v>
      </c>
      <c r="D45" s="5" t="s">
        <v>87</v>
      </c>
      <c r="E45" s="5" t="s">
        <v>46</v>
      </c>
      <c r="F45" s="18" t="n">
        <v>14</v>
      </c>
      <c r="G45" s="19" t="n">
        <f aca="false">F45*Ekonomika!$B$11</f>
        <v>22.4</v>
      </c>
      <c r="H45" s="19" t="n">
        <f aca="false">F45/Ekonomika!$B$5</f>
        <v>0.933333333333333</v>
      </c>
    </row>
    <row r="46" customFormat="false" ht="15" hidden="false" customHeight="false" outlineLevel="0" collapsed="false">
      <c r="A46" s="4" t="n">
        <v>9</v>
      </c>
      <c r="B46" s="10" t="s">
        <v>20</v>
      </c>
      <c r="C46" s="5" t="s">
        <v>26</v>
      </c>
      <c r="D46" s="5" t="s">
        <v>88</v>
      </c>
      <c r="E46" s="5" t="s">
        <v>46</v>
      </c>
      <c r="F46" s="18" t="n">
        <v>14</v>
      </c>
      <c r="G46" s="19" t="n">
        <f aca="false">F46*Ekonomika!$B$11</f>
        <v>22.4</v>
      </c>
      <c r="H46" s="19" t="n">
        <f aca="false">F46/Ekonomika!$B$5</f>
        <v>0.933333333333333</v>
      </c>
    </row>
    <row r="47" customFormat="false" ht="15" hidden="false" customHeight="false" outlineLevel="0" collapsed="false">
      <c r="A47" s="4" t="n">
        <v>9</v>
      </c>
      <c r="B47" s="10" t="s">
        <v>20</v>
      </c>
      <c r="C47" s="5" t="s">
        <v>26</v>
      </c>
      <c r="D47" s="5" t="s">
        <v>89</v>
      </c>
      <c r="E47" s="5" t="s">
        <v>46</v>
      </c>
      <c r="F47" s="18" t="n">
        <v>12</v>
      </c>
      <c r="G47" s="19" t="n">
        <f aca="false">F47*Ekonomika!$B$11</f>
        <v>19.2</v>
      </c>
      <c r="H47" s="19" t="n">
        <f aca="false">F47/Ekonomika!$B$5</f>
        <v>0.8</v>
      </c>
    </row>
    <row r="48" customFormat="false" ht="15" hidden="false" customHeight="false" outlineLevel="0" collapsed="false">
      <c r="A48" s="4" t="n">
        <v>9</v>
      </c>
      <c r="B48" s="10" t="s">
        <v>20</v>
      </c>
      <c r="C48" s="5" t="s">
        <v>26</v>
      </c>
      <c r="D48" s="5" t="s">
        <v>90</v>
      </c>
      <c r="E48" s="5" t="s">
        <v>46</v>
      </c>
      <c r="F48" s="18" t="n">
        <v>14</v>
      </c>
      <c r="G48" s="19" t="n">
        <f aca="false">F48*Ekonomika!$B$11</f>
        <v>22.4</v>
      </c>
      <c r="H48" s="19" t="n">
        <f aca="false">F48/Ekonomika!$B$5</f>
        <v>0.933333333333333</v>
      </c>
    </row>
    <row r="49" customFormat="false" ht="15" hidden="false" customHeight="false" outlineLevel="0" collapsed="false">
      <c r="A49" s="4" t="n">
        <v>9</v>
      </c>
      <c r="B49" s="10" t="s">
        <v>20</v>
      </c>
      <c r="C49" s="8" t="s">
        <v>26</v>
      </c>
      <c r="D49" s="8" t="s">
        <v>91</v>
      </c>
      <c r="E49" s="20" t="s">
        <v>51</v>
      </c>
      <c r="F49" s="21" t="n">
        <v>0</v>
      </c>
      <c r="G49" s="21" t="n">
        <v>0</v>
      </c>
      <c r="H49" s="22" t="n">
        <f aca="false">1/Ekonomika!$B$8</f>
        <v>2.85714285714286</v>
      </c>
    </row>
    <row r="50" customFormat="false" ht="15" hidden="false" customHeight="false" outlineLevel="0" collapsed="false">
      <c r="A50" s="4" t="n">
        <v>10</v>
      </c>
      <c r="B50" s="10" t="s">
        <v>20</v>
      </c>
      <c r="C50" s="5" t="s">
        <v>28</v>
      </c>
      <c r="D50" s="5" t="s">
        <v>92</v>
      </c>
      <c r="E50" s="5" t="s">
        <v>46</v>
      </c>
      <c r="F50" s="18" t="n">
        <v>14</v>
      </c>
      <c r="G50" s="19" t="n">
        <f aca="false">F50*Ekonomika!$B$11</f>
        <v>22.4</v>
      </c>
      <c r="H50" s="19" t="n">
        <f aca="false">F50/Ekonomika!$B$5</f>
        <v>0.933333333333333</v>
      </c>
    </row>
    <row r="51" customFormat="false" ht="15" hidden="false" customHeight="false" outlineLevel="0" collapsed="false">
      <c r="A51" s="4" t="n">
        <v>10</v>
      </c>
      <c r="B51" s="10" t="s">
        <v>20</v>
      </c>
      <c r="C51" s="5" t="s">
        <v>28</v>
      </c>
      <c r="D51" s="5" t="s">
        <v>93</v>
      </c>
      <c r="E51" s="5" t="s">
        <v>46</v>
      </c>
      <c r="F51" s="18" t="n">
        <v>12</v>
      </c>
      <c r="G51" s="19" t="n">
        <f aca="false">F51*Ekonomika!$B$11</f>
        <v>19.2</v>
      </c>
      <c r="H51" s="19" t="n">
        <f aca="false">F51/Ekonomika!$B$5</f>
        <v>0.8</v>
      </c>
    </row>
    <row r="52" customFormat="false" ht="15" hidden="false" customHeight="false" outlineLevel="0" collapsed="false">
      <c r="A52" s="4" t="n">
        <v>10</v>
      </c>
      <c r="B52" s="10" t="s">
        <v>20</v>
      </c>
      <c r="C52" s="5" t="s">
        <v>28</v>
      </c>
      <c r="D52" s="5" t="s">
        <v>94</v>
      </c>
      <c r="E52" s="5" t="s">
        <v>46</v>
      </c>
      <c r="F52" s="18" t="n">
        <v>10</v>
      </c>
      <c r="G52" s="19" t="n">
        <f aca="false">F52*Ekonomika!$B$11</f>
        <v>16</v>
      </c>
      <c r="H52" s="19" t="n">
        <f aca="false">F52/Ekonomika!$B$5</f>
        <v>0.666666666666667</v>
      </c>
    </row>
    <row r="53" customFormat="false" ht="15" hidden="false" customHeight="false" outlineLevel="0" collapsed="false">
      <c r="A53" s="4" t="n">
        <v>10</v>
      </c>
      <c r="B53" s="10" t="s">
        <v>20</v>
      </c>
      <c r="C53" s="5" t="s">
        <v>28</v>
      </c>
      <c r="D53" s="5" t="s">
        <v>95</v>
      </c>
      <c r="E53" s="5" t="s">
        <v>46</v>
      </c>
      <c r="F53" s="18" t="n">
        <v>10</v>
      </c>
      <c r="G53" s="19" t="n">
        <f aca="false">F53*Ekonomika!$B$11</f>
        <v>16</v>
      </c>
      <c r="H53" s="19" t="n">
        <f aca="false">F53/Ekonomika!$B$5</f>
        <v>0.666666666666667</v>
      </c>
    </row>
    <row r="54" customFormat="false" ht="15" hidden="false" customHeight="false" outlineLevel="0" collapsed="false">
      <c r="A54" s="4" t="n">
        <v>10</v>
      </c>
      <c r="B54" s="10" t="s">
        <v>20</v>
      </c>
      <c r="C54" s="8" t="s">
        <v>28</v>
      </c>
      <c r="D54" s="8" t="s">
        <v>96</v>
      </c>
      <c r="E54" s="20" t="s">
        <v>51</v>
      </c>
      <c r="F54" s="21" t="n">
        <v>0</v>
      </c>
      <c r="G54" s="21" t="n">
        <v>0</v>
      </c>
      <c r="H54" s="22" t="n">
        <f aca="false">1/Ekonomika!$B$8</f>
        <v>2.85714285714286</v>
      </c>
    </row>
    <row r="55" customFormat="false" ht="15" hidden="false" customHeight="false" outlineLevel="0" collapsed="false">
      <c r="A55" s="4" t="n">
        <v>11</v>
      </c>
      <c r="B55" s="11" t="s">
        <v>31</v>
      </c>
      <c r="C55" s="5" t="s">
        <v>30</v>
      </c>
      <c r="D55" s="5" t="s">
        <v>97</v>
      </c>
      <c r="E55" s="5" t="s">
        <v>46</v>
      </c>
      <c r="F55" s="18" t="n">
        <v>24</v>
      </c>
      <c r="G55" s="19" t="n">
        <f aca="false">F55*Ekonomika!$B$11</f>
        <v>38.4</v>
      </c>
      <c r="H55" s="19" t="n">
        <f aca="false">F55/Ekonomika!$B$5</f>
        <v>1.6</v>
      </c>
    </row>
    <row r="56" customFormat="false" ht="15" hidden="false" customHeight="false" outlineLevel="0" collapsed="false">
      <c r="A56" s="4" t="n">
        <v>11</v>
      </c>
      <c r="B56" s="11" t="s">
        <v>31</v>
      </c>
      <c r="C56" s="5" t="s">
        <v>30</v>
      </c>
      <c r="D56" s="5" t="s">
        <v>98</v>
      </c>
      <c r="E56" s="5" t="s">
        <v>46</v>
      </c>
      <c r="F56" s="18" t="n">
        <v>18</v>
      </c>
      <c r="G56" s="19" t="n">
        <f aca="false">F56*Ekonomika!$B$11</f>
        <v>28.8</v>
      </c>
      <c r="H56" s="19" t="n">
        <f aca="false">F56/Ekonomika!$B$5</f>
        <v>1.2</v>
      </c>
    </row>
    <row r="57" customFormat="false" ht="15" hidden="false" customHeight="false" outlineLevel="0" collapsed="false">
      <c r="A57" s="4" t="n">
        <v>11</v>
      </c>
      <c r="B57" s="11" t="s">
        <v>31</v>
      </c>
      <c r="C57" s="5" t="s">
        <v>30</v>
      </c>
      <c r="D57" s="5" t="s">
        <v>99</v>
      </c>
      <c r="E57" s="5" t="s">
        <v>46</v>
      </c>
      <c r="F57" s="18" t="n">
        <v>18</v>
      </c>
      <c r="G57" s="19" t="n">
        <f aca="false">F57*Ekonomika!$B$11</f>
        <v>28.8</v>
      </c>
      <c r="H57" s="19" t="n">
        <f aca="false">F57/Ekonomika!$B$5</f>
        <v>1.2</v>
      </c>
    </row>
    <row r="58" customFormat="false" ht="15" hidden="false" customHeight="false" outlineLevel="0" collapsed="false">
      <c r="A58" s="4" t="n">
        <v>11</v>
      </c>
      <c r="B58" s="11" t="s">
        <v>31</v>
      </c>
      <c r="C58" s="5" t="s">
        <v>30</v>
      </c>
      <c r="D58" s="5" t="s">
        <v>100</v>
      </c>
      <c r="E58" s="5" t="s">
        <v>46</v>
      </c>
      <c r="F58" s="18" t="n">
        <v>16</v>
      </c>
      <c r="G58" s="19" t="n">
        <f aca="false">F58*Ekonomika!$B$11</f>
        <v>25.6</v>
      </c>
      <c r="H58" s="19" t="n">
        <f aca="false">F58/Ekonomika!$B$5</f>
        <v>1.06666666666667</v>
      </c>
    </row>
    <row r="59" customFormat="false" ht="15" hidden="false" customHeight="false" outlineLevel="0" collapsed="false">
      <c r="A59" s="4" t="n">
        <v>11</v>
      </c>
      <c r="B59" s="11" t="s">
        <v>31</v>
      </c>
      <c r="C59" s="8" t="s">
        <v>30</v>
      </c>
      <c r="D59" s="8" t="s">
        <v>101</v>
      </c>
      <c r="E59" s="20" t="s">
        <v>51</v>
      </c>
      <c r="F59" s="21" t="n">
        <v>0</v>
      </c>
      <c r="G59" s="21" t="n">
        <v>0</v>
      </c>
      <c r="H59" s="22" t="n">
        <f aca="false">1/Ekonomika!$B$8</f>
        <v>2.85714285714286</v>
      </c>
    </row>
    <row r="60" customFormat="false" ht="15" hidden="false" customHeight="false" outlineLevel="0" collapsed="false">
      <c r="A60" s="4" t="n">
        <v>12</v>
      </c>
      <c r="B60" s="11" t="s">
        <v>31</v>
      </c>
      <c r="C60" s="5" t="s">
        <v>33</v>
      </c>
      <c r="D60" s="5" t="s">
        <v>102</v>
      </c>
      <c r="E60" s="5" t="s">
        <v>46</v>
      </c>
      <c r="F60" s="18" t="n">
        <v>24</v>
      </c>
      <c r="G60" s="19" t="n">
        <f aca="false">F60*Ekonomika!$B$11</f>
        <v>38.4</v>
      </c>
      <c r="H60" s="19" t="n">
        <f aca="false">F60/Ekonomika!$B$5</f>
        <v>1.6</v>
      </c>
    </row>
    <row r="61" customFormat="false" ht="15" hidden="false" customHeight="false" outlineLevel="0" collapsed="false">
      <c r="A61" s="4" t="n">
        <v>12</v>
      </c>
      <c r="B61" s="11" t="s">
        <v>31</v>
      </c>
      <c r="C61" s="5" t="s">
        <v>33</v>
      </c>
      <c r="D61" s="5" t="s">
        <v>103</v>
      </c>
      <c r="E61" s="5" t="s">
        <v>46</v>
      </c>
      <c r="F61" s="18" t="n">
        <v>18</v>
      </c>
      <c r="G61" s="19" t="n">
        <f aca="false">F61*Ekonomika!$B$11</f>
        <v>28.8</v>
      </c>
      <c r="H61" s="19" t="n">
        <f aca="false">F61/Ekonomika!$B$5</f>
        <v>1.2</v>
      </c>
    </row>
    <row r="62" customFormat="false" ht="15" hidden="false" customHeight="false" outlineLevel="0" collapsed="false">
      <c r="A62" s="4" t="n">
        <v>12</v>
      </c>
      <c r="B62" s="11" t="s">
        <v>31</v>
      </c>
      <c r="C62" s="5" t="s">
        <v>33</v>
      </c>
      <c r="D62" s="5" t="s">
        <v>104</v>
      </c>
      <c r="E62" s="5" t="s">
        <v>46</v>
      </c>
      <c r="F62" s="18" t="n">
        <v>20</v>
      </c>
      <c r="G62" s="19" t="n">
        <f aca="false">F62*Ekonomika!$B$11</f>
        <v>32</v>
      </c>
      <c r="H62" s="19" t="n">
        <f aca="false">F62/Ekonomika!$B$5</f>
        <v>1.33333333333333</v>
      </c>
    </row>
    <row r="63" customFormat="false" ht="15" hidden="false" customHeight="false" outlineLevel="0" collapsed="false">
      <c r="A63" s="4" t="n">
        <v>12</v>
      </c>
      <c r="B63" s="11" t="s">
        <v>31</v>
      </c>
      <c r="C63" s="5" t="s">
        <v>33</v>
      </c>
      <c r="D63" s="5" t="s">
        <v>105</v>
      </c>
      <c r="E63" s="5" t="s">
        <v>46</v>
      </c>
      <c r="F63" s="18" t="n">
        <v>18</v>
      </c>
      <c r="G63" s="19" t="n">
        <f aca="false">F63*Ekonomika!$B$11</f>
        <v>28.8</v>
      </c>
      <c r="H63" s="19" t="n">
        <f aca="false">F63/Ekonomika!$B$5</f>
        <v>1.2</v>
      </c>
    </row>
    <row r="64" customFormat="false" ht="15" hidden="false" customHeight="false" outlineLevel="0" collapsed="false">
      <c r="A64" s="4" t="n">
        <v>12</v>
      </c>
      <c r="B64" s="11" t="s">
        <v>31</v>
      </c>
      <c r="C64" s="8" t="s">
        <v>33</v>
      </c>
      <c r="D64" s="8" t="s">
        <v>106</v>
      </c>
      <c r="E64" s="20" t="s">
        <v>51</v>
      </c>
      <c r="F64" s="21" t="n">
        <v>0</v>
      </c>
      <c r="G64" s="21" t="n">
        <v>0</v>
      </c>
      <c r="H64" s="22" t="n">
        <f aca="false">1/Ekonomika!$B$8</f>
        <v>2.85714285714286</v>
      </c>
    </row>
    <row r="65" customFormat="false" ht="15" hidden="false" customHeight="false" outlineLevel="0" collapsed="false">
      <c r="A65" s="13" t="s">
        <v>35</v>
      </c>
      <c r="B65" s="14"/>
      <c r="C65" s="14"/>
      <c r="D65" s="14"/>
      <c r="E65" s="14"/>
      <c r="F65" s="23" t="n">
        <f aca="false">SUM(F5:F64)</f>
        <v>550</v>
      </c>
      <c r="G65" s="23" t="n">
        <f aca="false">SUM(G5:G64)</f>
        <v>880</v>
      </c>
      <c r="H65" s="23" t="n">
        <f aca="false">SUM(H5:H64)</f>
        <v>70.952380952381</v>
      </c>
    </row>
    <row r="67" customFormat="false" ht="39.75" hidden="false" customHeight="true" outlineLevel="0" collapsed="false">
      <c r="A67" s="17" t="s">
        <v>107</v>
      </c>
      <c r="B67" s="17"/>
      <c r="C67" s="17"/>
      <c r="D67" s="17"/>
      <c r="E67" s="17"/>
      <c r="F67" s="17"/>
      <c r="G67" s="17"/>
      <c r="H67" s="17"/>
    </row>
  </sheetData>
  <mergeCells count="1">
    <mergeCell ref="A67:H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24" t="s">
        <v>110</v>
      </c>
    </row>
    <row r="5" customFormat="false" ht="15" hidden="false" customHeight="false" outlineLevel="0" collapsed="false">
      <c r="A5" s="0" t="s">
        <v>111</v>
      </c>
      <c r="B5" s="18" t="n">
        <v>15</v>
      </c>
      <c r="C5" s="2" t="s">
        <v>112</v>
      </c>
    </row>
    <row r="6" customFormat="false" ht="15" hidden="false" customHeight="false" outlineLevel="0" collapsed="false">
      <c r="A6" s="0" t="s">
        <v>113</v>
      </c>
      <c r="B6" s="25" t="n">
        <v>0.6</v>
      </c>
      <c r="C6" s="2" t="s">
        <v>114</v>
      </c>
    </row>
    <row r="7" customFormat="false" ht="15" hidden="false" customHeight="false" outlineLevel="0" collapsed="false">
      <c r="A7" s="0" t="s">
        <v>115</v>
      </c>
      <c r="B7" s="18" t="n">
        <v>8</v>
      </c>
      <c r="C7" s="2" t="s">
        <v>116</v>
      </c>
    </row>
    <row r="8" customFormat="false" ht="15" hidden="false" customHeight="false" outlineLevel="0" collapsed="false">
      <c r="A8" s="0" t="s">
        <v>117</v>
      </c>
      <c r="B8" s="25" t="n">
        <v>0.35</v>
      </c>
      <c r="C8" s="2" t="s">
        <v>118</v>
      </c>
    </row>
    <row r="9" customFormat="false" ht="15" hidden="false" customHeight="false" outlineLevel="0" collapsed="false">
      <c r="A9" s="0" t="s">
        <v>119</v>
      </c>
      <c r="B9" s="26" t="n">
        <v>2</v>
      </c>
      <c r="C9" s="2" t="s">
        <v>120</v>
      </c>
    </row>
    <row r="11" customFormat="false" ht="15" hidden="false" customHeight="false" outlineLevel="0" collapsed="false">
      <c r="A11" s="0" t="s">
        <v>121</v>
      </c>
      <c r="B11" s="26" t="n">
        <v>1.6</v>
      </c>
      <c r="C11" s="2" t="s">
        <v>122</v>
      </c>
    </row>
    <row r="13" customFormat="false" ht="15" hidden="false" customHeight="false" outlineLevel="0" collapsed="false">
      <c r="A13" s="24" t="s">
        <v>123</v>
      </c>
    </row>
    <row r="14" customFormat="false" ht="15" hidden="false" customHeight="false" outlineLevel="0" collapsed="false">
      <c r="A14" s="0" t="s">
        <v>124</v>
      </c>
      <c r="B14" s="27" t="n">
        <f aca="false">SUMIF(Položky!$E$5:$E$64,"Normal",Položky!$F$5:$F$64)</f>
        <v>550</v>
      </c>
    </row>
    <row r="15" customFormat="false" ht="15" hidden="false" customHeight="false" outlineLevel="0" collapsed="false">
      <c r="A15" s="0" t="s">
        <v>125</v>
      </c>
      <c r="B15" s="7" t="n">
        <f aca="false">B5*B9*B16</f>
        <v>360</v>
      </c>
    </row>
    <row r="16" customFormat="false" ht="15" hidden="false" customHeight="false" outlineLevel="0" collapsed="false">
      <c r="A16" s="0" t="s">
        <v>126</v>
      </c>
      <c r="B16" s="7" t="n">
        <f aca="false">COUNTIF(Položky!$E$5:$E$64,"Boss")</f>
        <v>12</v>
      </c>
    </row>
    <row r="18" customFormat="false" ht="15" hidden="false" customHeight="false" outlineLevel="0" collapsed="false">
      <c r="A18" s="0" t="s">
        <v>127</v>
      </c>
      <c r="B18" s="19" t="n">
        <f aca="false">B14/B5</f>
        <v>36.6666666666667</v>
      </c>
    </row>
    <row r="19" customFormat="false" ht="15" hidden="false" customHeight="false" outlineLevel="0" collapsed="false">
      <c r="A19" s="0" t="s">
        <v>128</v>
      </c>
      <c r="B19" s="19" t="n">
        <f aca="false">B18/B6</f>
        <v>61.1111111111111</v>
      </c>
    </row>
    <row r="20" customFormat="false" ht="15" hidden="false" customHeight="false" outlineLevel="0" collapsed="false">
      <c r="A20" s="0" t="s">
        <v>129</v>
      </c>
      <c r="B20" s="19" t="n">
        <f aca="false">B16/B8</f>
        <v>34.2857142857143</v>
      </c>
    </row>
    <row r="21" customFormat="false" ht="15" hidden="false" customHeight="false" outlineLevel="0" collapsed="false">
      <c r="A21" s="0" t="s">
        <v>130</v>
      </c>
      <c r="B21" s="28" t="n">
        <f aca="false">B19+B20</f>
        <v>95.3968253968254</v>
      </c>
    </row>
    <row r="22" customFormat="false" ht="15" hidden="false" customHeight="false" outlineLevel="0" collapsed="false">
      <c r="A22" s="0" t="s">
        <v>131</v>
      </c>
      <c r="B22" s="28" t="n">
        <f aca="false">B21/B7</f>
        <v>11.9246031746032</v>
      </c>
    </row>
    <row r="23" customFormat="false" ht="15" hidden="false" customHeight="false" outlineLevel="0" collapsed="false">
      <c r="A23" s="0" t="s">
        <v>132</v>
      </c>
      <c r="B23" s="28" t="n">
        <f aca="false">B22/7</f>
        <v>1.70351473922902</v>
      </c>
    </row>
    <row r="25" customFormat="false" ht="15" hidden="false" customHeight="false" outlineLevel="0" collapsed="false">
      <c r="A25" s="24" t="s">
        <v>133</v>
      </c>
    </row>
    <row r="26" customFormat="false" ht="15" hidden="false" customHeight="false" outlineLevel="0" collapsed="false">
      <c r="A26" s="0" t="s">
        <v>134</v>
      </c>
      <c r="B26" s="18" t="n">
        <v>1</v>
      </c>
      <c r="C26" s="2" t="s">
        <v>135</v>
      </c>
    </row>
    <row r="27" customFormat="false" ht="15" hidden="false" customHeight="false" outlineLevel="0" collapsed="false">
      <c r="A27" s="0" t="s">
        <v>136</v>
      </c>
      <c r="B27" s="18" t="n">
        <v>2</v>
      </c>
    </row>
    <row r="29" customFormat="false" ht="15" hidden="false" customHeight="false" outlineLevel="0" collapsed="false">
      <c r="A29" s="24" t="s">
        <v>137</v>
      </c>
      <c r="B29" s="29" t="str">
        <f aca="false">IF(AND(B23&gt;=B26,B23&lt;=B27),"V CÍLI","MIMO CÍL — uprav ceny/úspěšnosti výše")</f>
        <v>V CÍLI</v>
      </c>
      <c r="C29" s="29"/>
      <c r="D29" s="29"/>
    </row>
    <row r="31" customFormat="false" ht="15" hidden="false" customHeight="false" outlineLevel="0" collapsed="false">
      <c r="A31" s="24" t="s">
        <v>138</v>
      </c>
    </row>
    <row r="32" customFormat="false" ht="27.75" hidden="false" customHeight="true" outlineLevel="0" collapsed="false">
      <c r="A32" s="17" t="s">
        <v>139</v>
      </c>
      <c r="B32" s="17"/>
      <c r="C32" s="17"/>
      <c r="D32" s="17"/>
    </row>
  </sheetData>
  <mergeCells count="2">
    <mergeCell ref="B29:D29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2026-08-26T16:29:52Z</dcterms:created>
  <dc:creator>openpyxl</dc:creator>
  <dc:description/>
  <dc:language>en-US</dc:language>
  <cp:lastModifiedBy/>
  <dcterms:modified xsi:type="dcterms:W3CDTF">2026-08-26T16:29:52Z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