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oviny" sheetId="1" state="visible" r:id="rId3"/>
    <sheet name="Recepty" sheetId="2" state="visible" r:id="rId4"/>
    <sheet name="Ekonomika" sheetId="3" state="visible" r:id="rId5"/>
    <sheet name="Souhr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<sst xmlns="http://schemas.openxmlformats.org/spreadsheetml/2006/main" count="85" uniqueCount="66">
  <si>
    <t xml:space="preserve">Ceny surovin</t>
  </si>
  <si>
    <t xml:space="preserve">Modré buňky = uprav podle potřeby. Ostatní se přepočítají samy.</t>
  </si>
  <si>
    <t xml:space="preserve">Surovina</t>
  </si>
  <si>
    <t xml:space="preserve">Cena za jednotku (mince)</t>
  </si>
  <si>
    <t xml:space="preserve">Jednotek za 1 minci</t>
  </si>
  <si>
    <t xml:space="preserve">Hliník</t>
  </si>
  <si>
    <t xml:space="preserve">Deuterium</t>
  </si>
  <si>
    <t xml:space="preserve">Elektronika</t>
  </si>
  <si>
    <t xml:space="preserve">Šrot</t>
  </si>
  <si>
    <t xml:space="preserve">Poznámka: ceny jsou startovní odhad k doladění — Deuterium je nejdražší (exotické palivo), Šrot nejlevnější (univerzální, běžný).</t>
  </si>
  <si>
    <t xml:space="preserve">Recepty oprav — 5 součástí × 3 podsoučásti</t>
  </si>
  <si>
    <t xml:space="preserve">Žluté buňky (množství surovin) = uprav podle potřeby. Cena a odhad levelů se přepočítají samy.</t>
  </si>
  <si>
    <t xml:space="preserve">Součást</t>
  </si>
  <si>
    <t xml:space="preserve">Podsoučást</t>
  </si>
  <si>
    <t xml:space="preserve">Hliník (ks)</t>
  </si>
  <si>
    <t xml:space="preserve">Deuterium (ks)</t>
  </si>
  <si>
    <t xml:space="preserve">Elektronika (ks)</t>
  </si>
  <si>
    <t xml:space="preserve">Šrot (ks)</t>
  </si>
  <si>
    <t xml:space="preserve">Cena celkem (mince)</t>
  </si>
  <si>
    <t xml:space="preserve">Orientační počet levelů</t>
  </si>
  <si>
    <t xml:space="preserve">Plášť</t>
  </si>
  <si>
    <t xml:space="preserve">Vnější obšívka</t>
  </si>
  <si>
    <t xml:space="preserve">Tepelný štít</t>
  </si>
  <si>
    <t xml:space="preserve">Poklopy a okna</t>
  </si>
  <si>
    <t xml:space="preserve">Navigace</t>
  </si>
  <si>
    <t xml:space="preserve">Senzory/radar</t>
  </si>
  <si>
    <t xml:space="preserve">Palubní počítač</t>
  </si>
  <si>
    <t xml:space="preserve">Komunikační anténa</t>
  </si>
  <si>
    <t xml:space="preserve">Pohon/motor</t>
  </si>
  <si>
    <t xml:space="preserve">Palivové nádrže</t>
  </si>
  <si>
    <t xml:space="preserve">Tryska/spalovací komora</t>
  </si>
  <si>
    <t xml:space="preserve">Chladicí systém</t>
  </si>
  <si>
    <t xml:space="preserve">Kokpit</t>
  </si>
  <si>
    <t xml:space="preserve">Podpora života</t>
  </si>
  <si>
    <t xml:space="preserve">Sedačky</t>
  </si>
  <si>
    <t xml:space="preserve">Přístrojová deska</t>
  </si>
  <si>
    <t xml:space="preserve">Reaktor (zamčeno)</t>
  </si>
  <si>
    <t xml:space="preserve">Jádro reaktoru</t>
  </si>
  <si>
    <t xml:space="preserve">Chlazení reaktoru</t>
  </si>
  <si>
    <t xml:space="preserve">Hlavní řídicí jednotka</t>
  </si>
  <si>
    <t xml:space="preserve">CELKEM</t>
  </si>
  <si>
    <t xml:space="preserve">Pozn.: 'Orientační počet levelů' = kolik vyhraných levelů v průměru vydělá dost mincí na tuhle podsoučást (viz list Ekonomika).</t>
  </si>
  <si>
    <t xml:space="preserve">Tempo a cílové ladění</t>
  </si>
  <si>
    <t xml:space="preserve">Uprav modré/žluté buňky (B sloupec) — vpravo se přepočítá dopad na tempo hry.</t>
  </si>
  <si>
    <t xml:space="preserve">Vstupní předpoklady</t>
  </si>
  <si>
    <t xml:space="preserve">Průměr mincí za vyhraný level</t>
  </si>
  <si>
    <t xml:space="preserve">vážený průměr přes 1★/2★/3★ odměnu (viz GDD 5.3)</t>
  </si>
  <si>
    <t xml:space="preserve">Průměrná úspěšnost levelu (win rate)</t>
  </si>
  <si>
    <t xml:space="preserve">blend přes tutoriál / volnou fázi / finále (viz GDD 5.3)</t>
  </si>
  <si>
    <t xml:space="preserve">Průměr pokusů o level / den</t>
  </si>
  <si>
    <t xml:space="preserve">energie: 5 životů, ~30 min/život, + občasná reklama/Stars (viz GDD 5.2)</t>
  </si>
  <si>
    <t xml:space="preserve">Odvozené hodnoty</t>
  </si>
  <si>
    <t xml:space="preserve">Vyhraných levelů / den</t>
  </si>
  <si>
    <t xml:space="preserve">Mincí vydělaných / den</t>
  </si>
  <si>
    <t xml:space="preserve">Celková cena kapitoly 1 (mince)</t>
  </si>
  <si>
    <t xml:space="preserve">součet 'Cena celkem' ze všech 15 receptů (list Recepty)</t>
  </si>
  <si>
    <t xml:space="preserve">Dní na kompletní opravu</t>
  </si>
  <si>
    <t xml:space="preserve">Týdnů na kompletní opravu</t>
  </si>
  <si>
    <t xml:space="preserve">Cílové tempo</t>
  </si>
  <si>
    <t xml:space="preserve">Cíl — min. týdnů</t>
  </si>
  <si>
    <t xml:space="preserve">rozhodnutí z GDD (sekce 7): ~1–2 týdny pro běžného neplaceného hráče</t>
  </si>
  <si>
    <t xml:space="preserve">Cíl — max. týdnů</t>
  </si>
  <si>
    <t xml:space="preserve">Vyhodnocení</t>
  </si>
  <si>
    <t xml:space="preserve">Souhrn podle součásti</t>
  </si>
  <si>
    <t xml:space="preserve">Přehled se počítá automaticky z listu Recepty — nic tu needituj.</t>
  </si>
  <si>
    <t xml:space="preserve">Podíl na kapitole 1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</si>
</sst>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.0"/>
    <numFmt numFmtId="167" formatCode="#,##0"/>
    <numFmt numFmtId="168" formatCode="#,##0.0"/>
    <numFmt numFmtId="169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v>0.2</v>
      </c>
      <c r="C5" s="6" t="n">
        <f aca="false">1/B5</f>
        <v>5</v>
      </c>
    </row>
    <row r="6" customFormat="false" ht="15" hidden="false" customHeight="false" outlineLevel="0" collapsed="false">
      <c r="A6" s="4" t="s">
        <v>6</v>
      </c>
      <c r="B6" s="5" t="n">
        <v>0.4</v>
      </c>
      <c r="C6" s="6" t="n">
        <f aca="false">1/B6</f>
        <v>2.5</v>
      </c>
    </row>
    <row r="7" customFormat="false" ht="15" hidden="false" customHeight="false" outlineLevel="0" collapsed="false">
      <c r="A7" s="4" t="s">
        <v>7</v>
      </c>
      <c r="B7" s="5" t="n">
        <v>0.25</v>
      </c>
      <c r="C7" s="6" t="n">
        <f aca="false">1/B7</f>
        <v>4</v>
      </c>
    </row>
    <row r="8" customFormat="false" ht="15" hidden="false" customHeight="false" outlineLevel="0" collapsed="false">
      <c r="A8" s="4" t="s">
        <v>8</v>
      </c>
      <c r="B8" s="5" t="n">
        <v>0.1</v>
      </c>
      <c r="C8" s="6" t="n">
        <f aca="false">1/B8</f>
        <v>10</v>
      </c>
    </row>
    <row r="10" customFormat="false" ht="30" hidden="false" customHeight="true" outlineLevel="0" collapsed="false">
      <c r="A10" s="7" t="s">
        <v>9</v>
      </c>
      <c r="B10" s="7"/>
      <c r="C10" s="7"/>
      <c r="D10" s="7"/>
    </row>
  </sheetData>
  <mergeCells count="1">
    <mergeCell ref="A10:D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8" min="7" style="0" width="16"/>
  </cols>
  <sheetData>
    <row r="1" customFormat="false" ht="17.35" hidden="false" customHeight="false" outlineLevel="0" collapsed="false">
      <c r="A1" s="1" t="s">
        <v>10</v>
      </c>
    </row>
    <row r="2" customFormat="false" ht="15" hidden="false" customHeight="false" outlineLevel="0" collapsed="false">
      <c r="A2" s="2" t="s">
        <v>11</v>
      </c>
    </row>
    <row r="4" customFormat="false" ht="26.85" hidden="false" customHeight="false" outlineLevel="0" collapsed="false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</row>
    <row r="5" customFormat="false" ht="15" hidden="false" customHeight="false" outlineLevel="0" collapsed="false">
      <c r="A5" s="4" t="s">
        <v>20</v>
      </c>
      <c r="B5" s="4" t="s">
        <v>21</v>
      </c>
      <c r="C5" s="8" t="n">
        <v>100</v>
      </c>
      <c r="D5" s="8" t="n">
        <v>0</v>
      </c>
      <c r="E5" s="8" t="n">
        <v>0</v>
      </c>
      <c r="F5" s="8" t="n">
        <v>100</v>
      </c>
      <c r="G5" s="9" t="n">
        <f aca="false">C5*Suroviny!$B$5+D5*Suroviny!$B$6+E5*Suroviny!$B$7+F5*Suroviny!$B$8</f>
        <v>30</v>
      </c>
      <c r="H5" s="9" t="n">
        <f aca="false">G5/Ekonomika!$B$5</f>
        <v>2</v>
      </c>
    </row>
    <row r="6" customFormat="false" ht="15" hidden="false" customHeight="false" outlineLevel="0" collapsed="false">
      <c r="A6" s="4" t="s">
        <v>20</v>
      </c>
      <c r="B6" s="4" t="s">
        <v>22</v>
      </c>
      <c r="C6" s="8" t="n">
        <v>150</v>
      </c>
      <c r="D6" s="8" t="n">
        <v>0</v>
      </c>
      <c r="E6" s="8" t="n">
        <v>0</v>
      </c>
      <c r="F6" s="8" t="n">
        <v>50</v>
      </c>
      <c r="G6" s="9" t="n">
        <f aca="false">C6*Suroviny!$B$5+D6*Suroviny!$B$6+E6*Suroviny!$B$7+F6*Suroviny!$B$8</f>
        <v>35</v>
      </c>
      <c r="H6" s="9" t="n">
        <f aca="false">G6/Ekonomika!$B$5</f>
        <v>2.33333333333333</v>
      </c>
    </row>
    <row r="7" customFormat="false" ht="15" hidden="false" customHeight="false" outlineLevel="0" collapsed="false">
      <c r="A7" s="4" t="s">
        <v>20</v>
      </c>
      <c r="B7" s="4" t="s">
        <v>23</v>
      </c>
      <c r="C7" s="8" t="n">
        <v>50</v>
      </c>
      <c r="D7" s="8" t="n">
        <v>0</v>
      </c>
      <c r="E7" s="8" t="n">
        <v>0</v>
      </c>
      <c r="F7" s="8" t="n">
        <v>100</v>
      </c>
      <c r="G7" s="9" t="n">
        <f aca="false">C7*Suroviny!$B$5+D7*Suroviny!$B$6+E7*Suroviny!$B$7+F7*Suroviny!$B$8</f>
        <v>20</v>
      </c>
      <c r="H7" s="9" t="n">
        <f aca="false">G7/Ekonomika!$B$5</f>
        <v>1.33333333333333</v>
      </c>
    </row>
    <row r="8" customFormat="false" ht="15" hidden="false" customHeight="false" outlineLevel="0" collapsed="false">
      <c r="A8" s="4" t="s">
        <v>24</v>
      </c>
      <c r="B8" s="4" t="s">
        <v>25</v>
      </c>
      <c r="C8" s="8" t="n">
        <v>0</v>
      </c>
      <c r="D8" s="8" t="n">
        <v>0</v>
      </c>
      <c r="E8" s="8" t="n">
        <v>100</v>
      </c>
      <c r="F8" s="8" t="n">
        <v>50</v>
      </c>
      <c r="G8" s="9" t="n">
        <f aca="false">C8*Suroviny!$B$5+D8*Suroviny!$B$6+E8*Suroviny!$B$7+F8*Suroviny!$B$8</f>
        <v>30</v>
      </c>
      <c r="H8" s="9" t="n">
        <f aca="false">G8/Ekonomika!$B$5</f>
        <v>2</v>
      </c>
    </row>
    <row r="9" customFormat="false" ht="15" hidden="false" customHeight="false" outlineLevel="0" collapsed="false">
      <c r="A9" s="4" t="s">
        <v>24</v>
      </c>
      <c r="B9" s="4" t="s">
        <v>26</v>
      </c>
      <c r="C9" s="8" t="n">
        <v>0</v>
      </c>
      <c r="D9" s="8" t="n">
        <v>0</v>
      </c>
      <c r="E9" s="8" t="n">
        <v>120</v>
      </c>
      <c r="F9" s="8" t="n">
        <v>50</v>
      </c>
      <c r="G9" s="9" t="n">
        <f aca="false">C9*Suroviny!$B$5+D9*Suroviny!$B$6+E9*Suroviny!$B$7+F9*Suroviny!$B$8</f>
        <v>35</v>
      </c>
      <c r="H9" s="9" t="n">
        <f aca="false">G9/Ekonomika!$B$5</f>
        <v>2.33333333333333</v>
      </c>
    </row>
    <row r="10" customFormat="false" ht="15" hidden="false" customHeight="false" outlineLevel="0" collapsed="false">
      <c r="A10" s="4" t="s">
        <v>24</v>
      </c>
      <c r="B10" s="4" t="s">
        <v>27</v>
      </c>
      <c r="C10" s="8" t="n">
        <v>0</v>
      </c>
      <c r="D10" s="8" t="n">
        <v>0</v>
      </c>
      <c r="E10" s="8" t="n">
        <v>80</v>
      </c>
      <c r="F10" s="8" t="n">
        <v>100</v>
      </c>
      <c r="G10" s="9" t="n">
        <f aca="false">C10*Suroviny!$B$5+D10*Suroviny!$B$6+E10*Suroviny!$B$7+F10*Suroviny!$B$8</f>
        <v>30</v>
      </c>
      <c r="H10" s="9" t="n">
        <f aca="false">G10/Ekonomika!$B$5</f>
        <v>2</v>
      </c>
    </row>
    <row r="11" customFormat="false" ht="15" hidden="false" customHeight="false" outlineLevel="0" collapsed="false">
      <c r="A11" s="4" t="s">
        <v>28</v>
      </c>
      <c r="B11" s="4" t="s">
        <v>29</v>
      </c>
      <c r="C11" s="8" t="n">
        <v>0</v>
      </c>
      <c r="D11" s="8" t="n">
        <v>80</v>
      </c>
      <c r="E11" s="8" t="n">
        <v>0</v>
      </c>
      <c r="F11" s="8" t="n">
        <v>100</v>
      </c>
      <c r="G11" s="9" t="n">
        <f aca="false">C11*Suroviny!$B$5+D11*Suroviny!$B$6+E11*Suroviny!$B$7+F11*Suroviny!$B$8</f>
        <v>42</v>
      </c>
      <c r="H11" s="9" t="n">
        <f aca="false">G11/Ekonomika!$B$5</f>
        <v>2.8</v>
      </c>
    </row>
    <row r="12" customFormat="false" ht="15" hidden="false" customHeight="false" outlineLevel="0" collapsed="false">
      <c r="A12" s="4" t="s">
        <v>28</v>
      </c>
      <c r="B12" s="4" t="s">
        <v>30</v>
      </c>
      <c r="C12" s="8" t="n">
        <v>0</v>
      </c>
      <c r="D12" s="8" t="n">
        <v>100</v>
      </c>
      <c r="E12" s="8" t="n">
        <v>0</v>
      </c>
      <c r="F12" s="8" t="n">
        <v>50</v>
      </c>
      <c r="G12" s="9" t="n">
        <f aca="false">C12*Suroviny!$B$5+D12*Suroviny!$B$6+E12*Suroviny!$B$7+F12*Suroviny!$B$8</f>
        <v>45</v>
      </c>
      <c r="H12" s="9" t="n">
        <f aca="false">G12/Ekonomika!$B$5</f>
        <v>3</v>
      </c>
    </row>
    <row r="13" customFormat="false" ht="15" hidden="false" customHeight="false" outlineLevel="0" collapsed="false">
      <c r="A13" s="4" t="s">
        <v>28</v>
      </c>
      <c r="B13" s="4" t="s">
        <v>31</v>
      </c>
      <c r="C13" s="8" t="n">
        <v>50</v>
      </c>
      <c r="D13" s="8" t="n">
        <v>50</v>
      </c>
      <c r="E13" s="8" t="n">
        <v>0</v>
      </c>
      <c r="F13" s="8" t="n">
        <v>50</v>
      </c>
      <c r="G13" s="9" t="n">
        <f aca="false">C13*Suroviny!$B$5+D13*Suroviny!$B$6+E13*Suroviny!$B$7+F13*Suroviny!$B$8</f>
        <v>35</v>
      </c>
      <c r="H13" s="9" t="n">
        <f aca="false">G13/Ekonomika!$B$5</f>
        <v>2.33333333333333</v>
      </c>
    </row>
    <row r="14" customFormat="false" ht="15" hidden="false" customHeight="false" outlineLevel="0" collapsed="false">
      <c r="A14" s="4" t="s">
        <v>32</v>
      </c>
      <c r="B14" s="4" t="s">
        <v>33</v>
      </c>
      <c r="C14" s="8" t="n">
        <v>0</v>
      </c>
      <c r="D14" s="8" t="n">
        <v>0</v>
      </c>
      <c r="E14" s="8" t="n">
        <v>80</v>
      </c>
      <c r="F14" s="8" t="n">
        <v>100</v>
      </c>
      <c r="G14" s="9" t="n">
        <f aca="false">C14*Suroviny!$B$5+D14*Suroviny!$B$6+E14*Suroviny!$B$7+F14*Suroviny!$B$8</f>
        <v>30</v>
      </c>
      <c r="H14" s="9" t="n">
        <f aca="false">G14/Ekonomika!$B$5</f>
        <v>2</v>
      </c>
    </row>
    <row r="15" customFormat="false" ht="15" hidden="false" customHeight="false" outlineLevel="0" collapsed="false">
      <c r="A15" s="4" t="s">
        <v>32</v>
      </c>
      <c r="B15" s="4" t="s">
        <v>34</v>
      </c>
      <c r="C15" s="8" t="n">
        <v>100</v>
      </c>
      <c r="D15" s="8" t="n">
        <v>0</v>
      </c>
      <c r="E15" s="8" t="n">
        <v>0</v>
      </c>
      <c r="F15" s="8" t="n">
        <v>100</v>
      </c>
      <c r="G15" s="9" t="n">
        <f aca="false">C15*Suroviny!$B$5+D15*Suroviny!$B$6+E15*Suroviny!$B$7+F15*Suroviny!$B$8</f>
        <v>30</v>
      </c>
      <c r="H15" s="9" t="n">
        <f aca="false">G15/Ekonomika!$B$5</f>
        <v>2</v>
      </c>
    </row>
    <row r="16" customFormat="false" ht="15" hidden="false" customHeight="false" outlineLevel="0" collapsed="false">
      <c r="A16" s="4" t="s">
        <v>32</v>
      </c>
      <c r="B16" s="4" t="s">
        <v>35</v>
      </c>
      <c r="C16" s="8" t="n">
        <v>50</v>
      </c>
      <c r="D16" s="8" t="n">
        <v>0</v>
      </c>
      <c r="E16" s="8" t="n">
        <v>80</v>
      </c>
      <c r="F16" s="8" t="n">
        <v>50</v>
      </c>
      <c r="G16" s="9" t="n">
        <f aca="false">C16*Suroviny!$B$5+D16*Suroviny!$B$6+E16*Suroviny!$B$7+F16*Suroviny!$B$8</f>
        <v>35</v>
      </c>
      <c r="H16" s="9" t="n">
        <f aca="false">G16/Ekonomika!$B$5</f>
        <v>2.33333333333333</v>
      </c>
    </row>
    <row r="17" customFormat="false" ht="15" hidden="false" customHeight="false" outlineLevel="0" collapsed="false">
      <c r="A17" s="4" t="s">
        <v>36</v>
      </c>
      <c r="B17" s="4" t="s">
        <v>37</v>
      </c>
      <c r="C17" s="8" t="n">
        <v>0</v>
      </c>
      <c r="D17" s="8" t="n">
        <v>150</v>
      </c>
      <c r="E17" s="8" t="n">
        <v>100</v>
      </c>
      <c r="F17" s="8" t="n">
        <v>100</v>
      </c>
      <c r="G17" s="9" t="n">
        <f aca="false">C17*Suroviny!$B$5+D17*Suroviny!$B$6+E17*Suroviny!$B$7+F17*Suroviny!$B$8</f>
        <v>95</v>
      </c>
      <c r="H17" s="9" t="n">
        <f aca="false">G17/Ekonomika!$B$5</f>
        <v>6.33333333333333</v>
      </c>
    </row>
    <row r="18" customFormat="false" ht="15" hidden="false" customHeight="false" outlineLevel="0" collapsed="false">
      <c r="A18" s="4" t="s">
        <v>36</v>
      </c>
      <c r="B18" s="4" t="s">
        <v>38</v>
      </c>
      <c r="C18" s="8" t="n">
        <v>80</v>
      </c>
      <c r="D18" s="8" t="n">
        <v>80</v>
      </c>
      <c r="E18" s="8" t="n">
        <v>0</v>
      </c>
      <c r="F18" s="8" t="n">
        <v>100</v>
      </c>
      <c r="G18" s="9" t="n">
        <f aca="false">C18*Suroviny!$B$5+D18*Suroviny!$B$6+E18*Suroviny!$B$7+F18*Suroviny!$B$8</f>
        <v>58</v>
      </c>
      <c r="H18" s="9" t="n">
        <f aca="false">G18/Ekonomika!$B$5</f>
        <v>3.86666666666667</v>
      </c>
    </row>
    <row r="19" customFormat="false" ht="15" hidden="false" customHeight="false" outlineLevel="0" collapsed="false">
      <c r="A19" s="4" t="s">
        <v>36</v>
      </c>
      <c r="B19" s="4" t="s">
        <v>39</v>
      </c>
      <c r="C19" s="8" t="n">
        <v>50</v>
      </c>
      <c r="D19" s="8" t="n">
        <v>0</v>
      </c>
      <c r="E19" s="8" t="n">
        <v>150</v>
      </c>
      <c r="F19" s="8" t="n">
        <v>100</v>
      </c>
      <c r="G19" s="9" t="n">
        <f aca="false">C19*Suroviny!$B$5+D19*Suroviny!$B$6+E19*Suroviny!$B$7+F19*Suroviny!$B$8</f>
        <v>57.5</v>
      </c>
      <c r="H19" s="9" t="n">
        <f aca="false">G19/Ekonomika!$B$5</f>
        <v>3.83333333333333</v>
      </c>
    </row>
    <row r="20" customFormat="false" ht="15" hidden="false" customHeight="false" outlineLevel="0" collapsed="false">
      <c r="A20" s="10" t="s">
        <v>40</v>
      </c>
      <c r="B20" s="11"/>
      <c r="C20" s="12" t="n">
        <f aca="false">SUM(C5:C19)</f>
        <v>630</v>
      </c>
      <c r="D20" s="12" t="n">
        <f aca="false">SUM(D5:D19)</f>
        <v>460</v>
      </c>
      <c r="E20" s="12" t="n">
        <f aca="false">SUM(E5:E19)</f>
        <v>710</v>
      </c>
      <c r="F20" s="12" t="n">
        <f aca="false">SUM(F5:F19)</f>
        <v>1200</v>
      </c>
      <c r="G20" s="13" t="n">
        <f aca="false">SUM(G5:G19)</f>
        <v>607.5</v>
      </c>
      <c r="H20" s="13" t="n">
        <f aca="false">SUM(H5:H19)</f>
        <v>40.5</v>
      </c>
    </row>
    <row r="22" customFormat="false" ht="27.75" hidden="false" customHeight="true" outlineLevel="0" collapsed="false">
      <c r="A22" s="7" t="s">
        <v>41</v>
      </c>
      <c r="B22" s="7"/>
      <c r="C22" s="7"/>
      <c r="D22" s="7"/>
      <c r="E22" s="7"/>
      <c r="F22" s="7"/>
      <c r="G22" s="7"/>
      <c r="H22" s="7"/>
    </row>
  </sheetData>
  <mergeCells count="1">
    <mergeCell ref="A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55"/>
    <col collapsed="false" customWidth="true" hidden="false" outlineLevel="0" max="4" min="4" style="0" width="10"/>
  </cols>
  <sheetData>
    <row r="1" customFormat="false" ht="17.35" hidden="false" customHeight="false" outlineLevel="0" collapsed="false">
      <c r="A1" s="1" t="s">
        <v>42</v>
      </c>
    </row>
    <row r="2" customFormat="false" ht="15" hidden="false" customHeight="false" outlineLevel="0" collapsed="false">
      <c r="A2" s="2" t="s">
        <v>43</v>
      </c>
    </row>
    <row r="4" customFormat="false" ht="15" hidden="false" customHeight="false" outlineLevel="0" collapsed="false">
      <c r="A4" s="14" t="s">
        <v>44</v>
      </c>
    </row>
    <row r="5" customFormat="false" ht="15" hidden="false" customHeight="false" outlineLevel="0" collapsed="false">
      <c r="A5" s="0" t="s">
        <v>45</v>
      </c>
      <c r="B5" s="8" t="n">
        <v>15</v>
      </c>
      <c r="C5" s="2" t="s">
        <v>46</v>
      </c>
    </row>
    <row r="6" customFormat="false" ht="15" hidden="false" customHeight="false" outlineLevel="0" collapsed="false">
      <c r="A6" s="0" t="s">
        <v>47</v>
      </c>
      <c r="B6" s="15" t="n">
        <v>0.7</v>
      </c>
      <c r="C6" s="2" t="s">
        <v>48</v>
      </c>
    </row>
    <row r="7" customFormat="false" ht="15" hidden="false" customHeight="false" outlineLevel="0" collapsed="false">
      <c r="A7" s="0" t="s">
        <v>49</v>
      </c>
      <c r="B7" s="8" t="n">
        <v>8</v>
      </c>
      <c r="C7" s="2" t="s">
        <v>50</v>
      </c>
    </row>
    <row r="9" customFormat="false" ht="15" hidden="false" customHeight="false" outlineLevel="0" collapsed="false">
      <c r="A9" s="14" t="s">
        <v>51</v>
      </c>
    </row>
    <row r="10" customFormat="false" ht="15" hidden="false" customHeight="false" outlineLevel="0" collapsed="false">
      <c r="A10" s="0" t="s">
        <v>52</v>
      </c>
      <c r="B10" s="9" t="n">
        <f aca="false">B7*B6</f>
        <v>5.6</v>
      </c>
    </row>
    <row r="11" customFormat="false" ht="15" hidden="false" customHeight="false" outlineLevel="0" collapsed="false">
      <c r="A11" s="0" t="s">
        <v>53</v>
      </c>
      <c r="B11" s="9" t="n">
        <f aca="false">B10*B5</f>
        <v>84</v>
      </c>
    </row>
    <row r="12" customFormat="false" ht="15" hidden="false" customHeight="false" outlineLevel="0" collapsed="false">
      <c r="A12" s="0" t="s">
        <v>54</v>
      </c>
      <c r="B12" s="16" t="n">
        <f aca="false">Recepty!G20</f>
        <v>607.5</v>
      </c>
      <c r="C12" s="2" t="s">
        <v>55</v>
      </c>
    </row>
    <row r="13" customFormat="false" ht="15" hidden="false" customHeight="false" outlineLevel="0" collapsed="false">
      <c r="A13" s="0" t="s">
        <v>56</v>
      </c>
      <c r="B13" s="17" t="n">
        <f aca="false">B12/B11</f>
        <v>7.23214285714286</v>
      </c>
    </row>
    <row r="14" customFormat="false" ht="15" hidden="false" customHeight="false" outlineLevel="0" collapsed="false">
      <c r="A14" s="0" t="s">
        <v>57</v>
      </c>
      <c r="B14" s="17" t="n">
        <f aca="false">B13/7</f>
        <v>1.03316326530612</v>
      </c>
    </row>
    <row r="16" customFormat="false" ht="15" hidden="false" customHeight="false" outlineLevel="0" collapsed="false">
      <c r="A16" s="14" t="s">
        <v>58</v>
      </c>
    </row>
    <row r="17" customFormat="false" ht="15" hidden="false" customHeight="false" outlineLevel="0" collapsed="false">
      <c r="A17" s="0" t="s">
        <v>59</v>
      </c>
      <c r="B17" s="8" t="n">
        <v>1</v>
      </c>
      <c r="C17" s="2" t="s">
        <v>60</v>
      </c>
    </row>
    <row r="18" customFormat="false" ht="15" hidden="false" customHeight="false" outlineLevel="0" collapsed="false">
      <c r="A18" s="0" t="s">
        <v>61</v>
      </c>
      <c r="B18" s="8" t="n">
        <v>2</v>
      </c>
    </row>
    <row r="20" customFormat="false" ht="15" hidden="false" customHeight="false" outlineLevel="0" collapsed="false">
      <c r="A20" s="14" t="s">
        <v>62</v>
      </c>
      <c r="B20" s="18" t="str">
        <f aca="false">IF(AND(B14&gt;=B17,B14&lt;=B18),"V CÍLI","MIMO CÍL — uprav ceny (Suroviny/Recepty) nebo předpoklady výše")</f>
        <v>V CÍLI</v>
      </c>
      <c r="C20" s="18"/>
      <c r="D20" s="18"/>
    </row>
  </sheetData>
  <mergeCells count="1">
    <mergeCell ref="B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1" t="s">
        <v>63</v>
      </c>
    </row>
    <row r="2" customFormat="false" ht="15" hidden="false" customHeight="false" outlineLevel="0" collapsed="false">
      <c r="A2" s="2" t="s">
        <v>64</v>
      </c>
    </row>
    <row r="4" customFormat="false" ht="26.85" hidden="false" customHeight="false" outlineLevel="0" collapsed="false">
      <c r="A4" s="3" t="s">
        <v>12</v>
      </c>
      <c r="B4" s="3" t="s">
        <v>18</v>
      </c>
      <c r="C4" s="3" t="s">
        <v>19</v>
      </c>
      <c r="D4" s="3" t="s">
        <v>65</v>
      </c>
    </row>
    <row r="5" customFormat="false" ht="15" hidden="false" customHeight="false" outlineLevel="0" collapsed="false">
      <c r="A5" s="4" t="s">
        <v>20</v>
      </c>
      <c r="B5" s="9" t="n">
        <f aca="false">SUMIF(Recepty!$A$5:$A$19,A5,Recepty!$G$5:$G$19)</f>
        <v>85</v>
      </c>
      <c r="C5" s="9" t="n">
        <f aca="false">B5/Ekonomika!$B$5</f>
        <v>5.66666666666667</v>
      </c>
      <c r="D5" s="19" t="n">
        <f aca="false">B5/Ekonomika!$B$12</f>
        <v>0.139917695473251</v>
      </c>
    </row>
    <row r="6" customFormat="false" ht="15" hidden="false" customHeight="false" outlineLevel="0" collapsed="false">
      <c r="A6" s="4" t="s">
        <v>24</v>
      </c>
      <c r="B6" s="9" t="n">
        <f aca="false">SUMIF(Recepty!$A$5:$A$19,A6,Recepty!$G$5:$G$19)</f>
        <v>95</v>
      </c>
      <c r="C6" s="9" t="n">
        <f aca="false">B6/Ekonomika!$B$5</f>
        <v>6.33333333333333</v>
      </c>
      <c r="D6" s="19" t="n">
        <f aca="false">B6/Ekonomika!$B$12</f>
        <v>0.156378600823045</v>
      </c>
    </row>
    <row r="7" customFormat="false" ht="15" hidden="false" customHeight="false" outlineLevel="0" collapsed="false">
      <c r="A7" s="4" t="s">
        <v>28</v>
      </c>
      <c r="B7" s="9" t="n">
        <f aca="false">SUMIF(Recepty!$A$5:$A$19,A7,Recepty!$G$5:$G$19)</f>
        <v>122</v>
      </c>
      <c r="C7" s="9" t="n">
        <f aca="false">B7/Ekonomika!$B$5</f>
        <v>8.13333333333333</v>
      </c>
      <c r="D7" s="19" t="n">
        <f aca="false">B7/Ekonomika!$B$12</f>
        <v>0.20082304526749</v>
      </c>
    </row>
    <row r="8" customFormat="false" ht="15" hidden="false" customHeight="false" outlineLevel="0" collapsed="false">
      <c r="A8" s="4" t="s">
        <v>32</v>
      </c>
      <c r="B8" s="9" t="n">
        <f aca="false">SUMIF(Recepty!$A$5:$A$19,A8,Recepty!$G$5:$G$19)</f>
        <v>95</v>
      </c>
      <c r="C8" s="9" t="n">
        <f aca="false">B8/Ekonomika!$B$5</f>
        <v>6.33333333333333</v>
      </c>
      <c r="D8" s="19" t="n">
        <f aca="false">B8/Ekonomika!$B$12</f>
        <v>0.156378600823045</v>
      </c>
    </row>
    <row r="9" customFormat="false" ht="15" hidden="false" customHeight="false" outlineLevel="0" collapsed="false">
      <c r="A9" s="4" t="s">
        <v>36</v>
      </c>
      <c r="B9" s="9" t="n">
        <f aca="false">SUMIF(Recepty!$A$5:$A$19,A9,Recepty!$G$5:$G$19)</f>
        <v>210.5</v>
      </c>
      <c r="C9" s="9" t="n">
        <f aca="false">B9/Ekonomika!$B$5</f>
        <v>14.0333333333333</v>
      </c>
      <c r="D9" s="19" t="n">
        <f aca="false">B9/Ekonomika!$B$12</f>
        <v>0.346502057613169</v>
      </c>
    </row>
    <row r="10" customFormat="false" ht="15" hidden="false" customHeight="false" outlineLevel="0" collapsed="false">
      <c r="A10" s="10" t="s">
        <v>40</v>
      </c>
      <c r="B10" s="13" t="n">
        <f aca="false">SUM(B5:B9)</f>
        <v>607.5</v>
      </c>
      <c r="C10" s="13" t="n">
        <f aca="false">SUM(C5:C9)</f>
        <v>40.5</v>
      </c>
      <c r="D10" s="20" t="n">
        <f aca="false">SUM(D5:D9)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2026-08-25T15:31:32Z</dcterms:created>
  <dc:creator>openpyxl</dc:creator>
  <dc:description/>
  <dc:language>en-US</dc:language>
  <cp:lastModifiedBy/>
  <dcterms:modified xsi:type="dcterms:W3CDTF">2026-08-25T15:31:32Z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